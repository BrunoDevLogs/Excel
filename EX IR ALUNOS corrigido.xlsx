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360" windowHeight="7620"/>
  </bookViews>
  <sheets>
    <sheet name="Planilha2" sheetId="2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2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2"/>
  <c r="E2" s="1"/>
  <c r="F6" l="1"/>
  <c r="F10"/>
  <c r="F14"/>
  <c r="F18"/>
  <c r="F22"/>
  <c r="F26"/>
  <c r="F30"/>
  <c r="F34"/>
  <c r="F38"/>
  <c r="F2"/>
  <c r="E3"/>
  <c r="F3" s="1"/>
  <c r="E4"/>
  <c r="F4" s="1"/>
  <c r="E5"/>
  <c r="F5" s="1"/>
  <c r="E6"/>
  <c r="E7"/>
  <c r="F7" s="1"/>
  <c r="E8"/>
  <c r="F8" s="1"/>
  <c r="E9"/>
  <c r="F9" s="1"/>
  <c r="E10"/>
  <c r="E11"/>
  <c r="F11" s="1"/>
  <c r="E12"/>
  <c r="F12" s="1"/>
  <c r="E13"/>
  <c r="F13" s="1"/>
  <c r="E14"/>
  <c r="E15"/>
  <c r="F15" s="1"/>
  <c r="E16"/>
  <c r="F16" s="1"/>
  <c r="E17"/>
  <c r="F17" s="1"/>
  <c r="E18"/>
  <c r="E19"/>
  <c r="F19" s="1"/>
  <c r="E20"/>
  <c r="F20" s="1"/>
  <c r="E21"/>
  <c r="F21" s="1"/>
  <c r="E22"/>
  <c r="E23"/>
  <c r="F23" s="1"/>
  <c r="E24"/>
  <c r="F24" s="1"/>
  <c r="E25"/>
  <c r="F25" s="1"/>
  <c r="E26"/>
  <c r="E27"/>
  <c r="F27" s="1"/>
  <c r="E28"/>
  <c r="F28" s="1"/>
  <c r="E29"/>
  <c r="F29" s="1"/>
  <c r="E30"/>
  <c r="E31"/>
  <c r="F31" s="1"/>
  <c r="E32"/>
  <c r="F32" s="1"/>
  <c r="E33"/>
  <c r="F33" s="1"/>
  <c r="E34"/>
  <c r="E35"/>
  <c r="F35" s="1"/>
  <c r="E36"/>
  <c r="F36" s="1"/>
  <c r="E37"/>
  <c r="F37" s="1"/>
  <c r="E38"/>
  <c r="E39"/>
  <c r="F39" s="1"/>
  <c r="E40"/>
  <c r="F40" s="1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2"/>
  <c r="I8" l="1"/>
</calcChain>
</file>

<file path=xl/sharedStrings.xml><?xml version="1.0" encoding="utf-8"?>
<sst xmlns="http://schemas.openxmlformats.org/spreadsheetml/2006/main" count="58" uniqueCount="50">
  <si>
    <t>FUNCIONÁRIOS</t>
  </si>
  <si>
    <t>SALARIO BRUTO</t>
  </si>
  <si>
    <t>CATEGORIA</t>
  </si>
  <si>
    <t>SALARIO LIQUIDO</t>
  </si>
  <si>
    <t>PAULO</t>
  </si>
  <si>
    <t>MARIA</t>
  </si>
  <si>
    <t>VANIA</t>
  </si>
  <si>
    <t>BIA</t>
  </si>
  <si>
    <t>CARLOS</t>
  </si>
  <si>
    <t>PEDRO</t>
  </si>
  <si>
    <t>OTAVIO</t>
  </si>
  <si>
    <t>MARINA</t>
  </si>
  <si>
    <t>TABELA IR</t>
  </si>
  <si>
    <t>FAIXAS SALARIAIS</t>
  </si>
  <si>
    <t>PORCENTAGEM</t>
  </si>
  <si>
    <t>VALOR A DEDUZIR</t>
  </si>
  <si>
    <t>CALCULO DO IMPOSTO RENDA</t>
  </si>
  <si>
    <t>ANA</t>
  </si>
  <si>
    <t>BARBARA</t>
  </si>
  <si>
    <t>DOUGLAS</t>
  </si>
  <si>
    <t>JESSICA</t>
  </si>
  <si>
    <t>GABRIEL</t>
  </si>
  <si>
    <t>RODRIGO</t>
  </si>
  <si>
    <t>JOSE</t>
  </si>
  <si>
    <t>MURILO</t>
  </si>
  <si>
    <t>CARLA</t>
  </si>
  <si>
    <t>MELISSA</t>
  </si>
  <si>
    <t>IGOR</t>
  </si>
  <si>
    <t>IVO</t>
  </si>
  <si>
    <t>GUSTAVO</t>
  </si>
  <si>
    <t>DENISE</t>
  </si>
  <si>
    <t>MIRIAM</t>
  </si>
  <si>
    <t>EURICO</t>
  </si>
  <si>
    <t>RENATA</t>
  </si>
  <si>
    <t>RENAN</t>
  </si>
  <si>
    <t>FABIO</t>
  </si>
  <si>
    <t>VITORIA</t>
  </si>
  <si>
    <t>FELIPE</t>
  </si>
  <si>
    <t>KATIA</t>
  </si>
  <si>
    <t>BRUNA</t>
  </si>
  <si>
    <t>NADIA</t>
  </si>
  <si>
    <t>LILIAN</t>
  </si>
  <si>
    <t>JEANE</t>
  </si>
  <si>
    <t>KAREN</t>
  </si>
  <si>
    <t>GIULIA</t>
  </si>
  <si>
    <t>INSS</t>
  </si>
  <si>
    <t>VALOR DESCONTO</t>
  </si>
  <si>
    <t>MENOR</t>
  </si>
  <si>
    <t>MAIOR OU IGUAL</t>
  </si>
  <si>
    <t>IR=(SAL BRUTO - INSS)*ALIQUOTA DE ACORDO COM A FAIXA SALARIAL)-VALOR A DEDUZIR CONFORME A FAIXA SALARIAL BRUTA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</si>
</sst>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0" borderId="1" xfId="0" applyBorder="1"/>
    <xf numFmtId="9" fontId="0" fillId="0" borderId="1" xfId="0" applyNumberFormat="1" applyBorder="1"/>
    <xf numFmtId="10" fontId="0" fillId="0" borderId="1" xfId="0" applyNumberFormat="1" applyBorder="1"/>
    <xf numFmtId="0" fontId="0" fillId="0" borderId="1" xfId="0" applyFill="1" applyBorder="1"/>
    <xf numFmtId="0" fontId="0" fillId="0" borderId="0" xfId="0" applyAlignment="1"/>
    <xf numFmtId="0" fontId="0" fillId="4" borderId="1" xfId="0" applyFill="1" applyBorder="1"/>
    <xf numFmtId="0" fontId="0" fillId="6" borderId="1" xfId="0" applyFill="1" applyBorder="1"/>
    <xf numFmtId="2" fontId="0" fillId="6" borderId="1" xfId="0" quotePrefix="1" applyNumberFormat="1" applyFill="1" applyBorder="1"/>
    <xf numFmtId="2" fontId="0" fillId="6" borderId="1" xfId="0" applyNumberFormat="1" applyFill="1" applyBorder="1"/>
    <xf numFmtId="0" fontId="0" fillId="0" borderId="0" xfId="0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5" borderId="0" xfId="0" applyFill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tabSelected="1" workbookViewId="0">
      <selection activeCell="I15" sqref="I15"/>
    </sheetView>
  </sheetViews>
  <sheetFormatPr defaultRowHeight="15"/>
  <cols>
    <col min="1" max="1" width="15.5703125" customWidth="1"/>
    <col min="2" max="2" width="17" customWidth="1"/>
    <col min="3" max="3" width="11.5703125" customWidth="1"/>
    <col min="5" max="5" width="17.42578125" bestFit="1" customWidth="1"/>
    <col min="6" max="6" width="20.42578125" customWidth="1"/>
    <col min="8" max="8" width="16.140625" bestFit="1" customWidth="1"/>
    <col min="9" max="9" width="18.42578125" customWidth="1"/>
    <col min="10" max="10" width="15.5703125" customWidth="1"/>
    <col min="11" max="11" width="16.85546875" bestFit="1" customWidth="1"/>
    <col min="12" max="12" width="14.28515625" customWidth="1"/>
    <col min="14" max="14" width="10.140625" customWidth="1"/>
    <col min="15" max="15" width="17.5703125" customWidth="1"/>
    <col min="16" max="16" width="14.2851562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45</v>
      </c>
      <c r="E1" s="1" t="s">
        <v>46</v>
      </c>
      <c r="F1" s="1" t="s">
        <v>3</v>
      </c>
      <c r="I1" s="11" t="s">
        <v>16</v>
      </c>
      <c r="J1" s="11"/>
      <c r="K1" s="11"/>
      <c r="L1" s="11"/>
      <c r="M1" s="6"/>
      <c r="N1" s="6"/>
    </row>
    <row r="2" spans="1:16">
      <c r="A2" s="2" t="s">
        <v>4</v>
      </c>
      <c r="B2" s="2">
        <v>1200</v>
      </c>
      <c r="C2" s="8">
        <f>IF(B2&lt;$I$4,$L$4,IF(B2&lt;$I$5,$L$5,IF(B2&lt;$I$6,$L$6,IF(B2&lt;$I$7,$L$7,IF(B2&gt;=$I$8,$L$8,"0")))))</f>
        <v>1</v>
      </c>
      <c r="D2" s="8">
        <f>B2*$O$2</f>
        <v>132</v>
      </c>
      <c r="E2" s="9">
        <f>IF(C2=$L$4,((B2-D2)*$J$4)-$K$4,IF(C2=$L$5,((B2-D2)*$J$5)-$K$5,IF(C2=$L$6,((B2-D2)*$J$6)-$K$6,IF(C2=$L$7,((B2-D2)*$J$7)-$K$7,IF(C2=$L$8,((B2-D2)*$J$8)-$K$8,0)))))</f>
        <v>0</v>
      </c>
      <c r="F2" s="10">
        <f>B2-D2-E2</f>
        <v>1068</v>
      </c>
      <c r="I2" s="12" t="s">
        <v>12</v>
      </c>
      <c r="J2" s="13"/>
      <c r="K2" s="13"/>
      <c r="L2" s="13"/>
      <c r="N2" s="7" t="s">
        <v>45</v>
      </c>
      <c r="O2" s="3">
        <v>0.11</v>
      </c>
    </row>
    <row r="3" spans="1:16">
      <c r="A3" s="2" t="s">
        <v>5</v>
      </c>
      <c r="B3" s="2">
        <v>1500</v>
      </c>
      <c r="C3" s="8">
        <f t="shared" ref="C3:C40" si="0">IF(B3&lt;$I$4,$L$4,IF(B3&lt;$I$5,$L$5,IF(B3&lt;$I$6,$L$6,IF(B3&lt;$I$7,$L$7,IF(B3&gt;=$I$8,$L$8,"0")))))</f>
        <v>1</v>
      </c>
      <c r="D3" s="8">
        <f t="shared" ref="D3:D40" si="1">B3*$O$2</f>
        <v>165</v>
      </c>
      <c r="E3" s="9">
        <f t="shared" ref="E3:E40" si="2">IF(C3=$L$4,((B3-D3)*$J$4)-$K$4,IF(C3=$L$5,((B3-D3)*$J$5)-$K$5,IF(C3=$L$6,((B3-D3)*$J$6)-$K$6,IF(C3=$L$7,((B3-D3)*$J$7)-$K$7,IF(C3=$L$8,((B3-D3)*$J$8)-$K$8,0)))))</f>
        <v>0</v>
      </c>
      <c r="F3" s="10">
        <f t="shared" ref="F3:F40" si="3">B3-D3-E3</f>
        <v>1335</v>
      </c>
      <c r="I3" s="1" t="s">
        <v>13</v>
      </c>
      <c r="J3" s="1" t="s">
        <v>14</v>
      </c>
      <c r="K3" s="2" t="s">
        <v>15</v>
      </c>
      <c r="L3" s="1" t="s">
        <v>2</v>
      </c>
    </row>
    <row r="4" spans="1:16">
      <c r="A4" s="2" t="s">
        <v>6</v>
      </c>
      <c r="B4" s="2">
        <v>3800</v>
      </c>
      <c r="C4" s="8">
        <f t="shared" si="0"/>
        <v>4</v>
      </c>
      <c r="D4" s="8">
        <f t="shared" si="1"/>
        <v>418</v>
      </c>
      <c r="E4" s="9">
        <f t="shared" si="2"/>
        <v>124.82000000000005</v>
      </c>
      <c r="F4" s="10">
        <f t="shared" si="3"/>
        <v>3257.18</v>
      </c>
      <c r="H4" s="2" t="s">
        <v>47</v>
      </c>
      <c r="I4" s="2">
        <v>1903.98</v>
      </c>
      <c r="J4" s="3">
        <v>0</v>
      </c>
      <c r="K4" s="2">
        <v>0</v>
      </c>
      <c r="L4" s="2">
        <v>1</v>
      </c>
      <c r="N4" s="14" t="s">
        <v>49</v>
      </c>
      <c r="O4" s="14"/>
      <c r="P4" s="14"/>
    </row>
    <row r="5" spans="1:16">
      <c r="A5" s="2" t="s">
        <v>7</v>
      </c>
      <c r="B5" s="2">
        <v>4900</v>
      </c>
      <c r="C5" s="8">
        <f t="shared" si="0"/>
        <v>5</v>
      </c>
      <c r="D5" s="8">
        <f t="shared" si="1"/>
        <v>539</v>
      </c>
      <c r="E5" s="9">
        <f t="shared" si="2"/>
        <v>329.91500000000008</v>
      </c>
      <c r="F5" s="10">
        <f t="shared" si="3"/>
        <v>4031.085</v>
      </c>
      <c r="H5" s="2" t="s">
        <v>47</v>
      </c>
      <c r="I5" s="2">
        <v>2826.66</v>
      </c>
      <c r="J5" s="4">
        <v>7.4999999999999997E-2</v>
      </c>
      <c r="K5" s="2">
        <v>142.80000000000001</v>
      </c>
      <c r="L5" s="2">
        <v>2</v>
      </c>
      <c r="N5" s="14"/>
      <c r="O5" s="14"/>
      <c r="P5" s="14"/>
    </row>
    <row r="6" spans="1:16">
      <c r="A6" s="2" t="s">
        <v>8</v>
      </c>
      <c r="B6" s="2">
        <v>6000</v>
      </c>
      <c r="C6" s="8">
        <f t="shared" si="0"/>
        <v>5</v>
      </c>
      <c r="D6" s="8">
        <f t="shared" si="1"/>
        <v>660</v>
      </c>
      <c r="E6" s="9">
        <f t="shared" si="2"/>
        <v>599.14000000000021</v>
      </c>
      <c r="F6" s="10">
        <f t="shared" si="3"/>
        <v>4740.8599999999997</v>
      </c>
      <c r="H6" s="2" t="s">
        <v>47</v>
      </c>
      <c r="I6" s="2">
        <v>3751.05</v>
      </c>
      <c r="J6" s="4">
        <v>0.15</v>
      </c>
      <c r="K6" s="2">
        <v>354.8</v>
      </c>
      <c r="L6" s="2">
        <v>3</v>
      </c>
      <c r="N6" s="14"/>
      <c r="O6" s="14"/>
      <c r="P6" s="14"/>
    </row>
    <row r="7" spans="1:16">
      <c r="A7" s="2" t="s">
        <v>9</v>
      </c>
      <c r="B7" s="2">
        <v>1700</v>
      </c>
      <c r="C7" s="8">
        <f t="shared" si="0"/>
        <v>1</v>
      </c>
      <c r="D7" s="8">
        <f t="shared" si="1"/>
        <v>187</v>
      </c>
      <c r="E7" s="9">
        <f t="shared" si="2"/>
        <v>0</v>
      </c>
      <c r="F7" s="10">
        <f t="shared" si="3"/>
        <v>1513</v>
      </c>
      <c r="H7" s="2" t="s">
        <v>47</v>
      </c>
      <c r="I7" s="2">
        <v>4664.68</v>
      </c>
      <c r="J7" s="4">
        <v>0.22500000000000001</v>
      </c>
      <c r="K7" s="2">
        <v>636.13</v>
      </c>
      <c r="L7" s="2">
        <v>4</v>
      </c>
      <c r="N7" s="14"/>
      <c r="O7" s="14"/>
      <c r="P7" s="14"/>
    </row>
    <row r="8" spans="1:16">
      <c r="A8" s="2" t="s">
        <v>10</v>
      </c>
      <c r="B8" s="2">
        <v>8900</v>
      </c>
      <c r="C8" s="8">
        <f t="shared" si="0"/>
        <v>5</v>
      </c>
      <c r="D8" s="8">
        <f t="shared" si="1"/>
        <v>979</v>
      </c>
      <c r="E8" s="9">
        <f t="shared" si="2"/>
        <v>1308.915</v>
      </c>
      <c r="F8" s="10">
        <f t="shared" si="3"/>
        <v>6612.085</v>
      </c>
      <c r="H8" s="2" t="s">
        <v>48</v>
      </c>
      <c r="I8" s="5">
        <f>I7</f>
        <v>4664.68</v>
      </c>
      <c r="J8" s="4">
        <v>0.27500000000000002</v>
      </c>
      <c r="K8" s="2">
        <v>869.36</v>
      </c>
      <c r="L8" s="5">
        <v>5</v>
      </c>
      <c r="N8" s="14"/>
      <c r="O8" s="14"/>
      <c r="P8" s="14"/>
    </row>
    <row r="9" spans="1:16">
      <c r="A9" s="2" t="s">
        <v>11</v>
      </c>
      <c r="B9" s="2">
        <v>4300</v>
      </c>
      <c r="C9" s="8">
        <f t="shared" si="0"/>
        <v>4</v>
      </c>
      <c r="D9" s="8">
        <f t="shared" si="1"/>
        <v>473</v>
      </c>
      <c r="E9" s="9">
        <f t="shared" si="2"/>
        <v>224.94500000000005</v>
      </c>
      <c r="F9" s="10">
        <f t="shared" si="3"/>
        <v>3602.0549999999998</v>
      </c>
    </row>
    <row r="10" spans="1:16">
      <c r="A10" s="5" t="s">
        <v>17</v>
      </c>
      <c r="B10" s="2">
        <v>2500</v>
      </c>
      <c r="C10" s="8">
        <f t="shared" si="0"/>
        <v>2</v>
      </c>
      <c r="D10" s="8">
        <f t="shared" si="1"/>
        <v>275</v>
      </c>
      <c r="E10" s="9">
        <f t="shared" si="2"/>
        <v>24.074999999999989</v>
      </c>
      <c r="F10" s="10">
        <f t="shared" si="3"/>
        <v>2200.9250000000002</v>
      </c>
    </row>
    <row r="11" spans="1:16">
      <c r="A11" s="5" t="s">
        <v>18</v>
      </c>
      <c r="B11" s="2">
        <v>1200</v>
      </c>
      <c r="C11" s="8">
        <f t="shared" si="0"/>
        <v>1</v>
      </c>
      <c r="D11" s="8">
        <f t="shared" si="1"/>
        <v>132</v>
      </c>
      <c r="E11" s="9">
        <f t="shared" si="2"/>
        <v>0</v>
      </c>
      <c r="F11" s="10">
        <f t="shared" si="3"/>
        <v>1068</v>
      </c>
    </row>
    <row r="12" spans="1:16">
      <c r="A12" s="5" t="s">
        <v>9</v>
      </c>
      <c r="B12" s="2">
        <v>8500</v>
      </c>
      <c r="C12" s="8">
        <f t="shared" si="0"/>
        <v>5</v>
      </c>
      <c r="D12" s="8">
        <f t="shared" si="1"/>
        <v>935</v>
      </c>
      <c r="E12" s="9">
        <f t="shared" si="2"/>
        <v>1211.0149999999999</v>
      </c>
      <c r="F12" s="10">
        <f t="shared" si="3"/>
        <v>6353.9850000000006</v>
      </c>
    </row>
    <row r="13" spans="1:16">
      <c r="A13" s="5" t="s">
        <v>19</v>
      </c>
      <c r="B13" s="2">
        <v>1500</v>
      </c>
      <c r="C13" s="8">
        <f t="shared" si="0"/>
        <v>1</v>
      </c>
      <c r="D13" s="8">
        <f t="shared" si="1"/>
        <v>165</v>
      </c>
      <c r="E13" s="9">
        <f t="shared" si="2"/>
        <v>0</v>
      </c>
      <c r="F13" s="10">
        <f t="shared" si="3"/>
        <v>1335</v>
      </c>
    </row>
    <row r="14" spans="1:16">
      <c r="A14" s="5" t="s">
        <v>20</v>
      </c>
      <c r="B14" s="2">
        <v>1480</v>
      </c>
      <c r="C14" s="8">
        <f t="shared" si="0"/>
        <v>1</v>
      </c>
      <c r="D14" s="8">
        <f t="shared" si="1"/>
        <v>162.80000000000001</v>
      </c>
      <c r="E14" s="9">
        <f t="shared" si="2"/>
        <v>0</v>
      </c>
      <c r="F14" s="10">
        <f t="shared" si="3"/>
        <v>1317.2</v>
      </c>
    </row>
    <row r="15" spans="1:16">
      <c r="A15" s="5" t="s">
        <v>21</v>
      </c>
      <c r="B15" s="2">
        <v>5600</v>
      </c>
      <c r="C15" s="8">
        <f t="shared" si="0"/>
        <v>5</v>
      </c>
      <c r="D15" s="8">
        <f t="shared" si="1"/>
        <v>616</v>
      </c>
      <c r="E15" s="9">
        <f t="shared" si="2"/>
        <v>501.24000000000012</v>
      </c>
      <c r="F15" s="10">
        <f t="shared" si="3"/>
        <v>4482.76</v>
      </c>
    </row>
    <row r="16" spans="1:16">
      <c r="A16" s="5" t="s">
        <v>24</v>
      </c>
      <c r="B16" s="2">
        <v>4500</v>
      </c>
      <c r="C16" s="8">
        <f t="shared" si="0"/>
        <v>4</v>
      </c>
      <c r="D16" s="8">
        <f t="shared" si="1"/>
        <v>495</v>
      </c>
      <c r="E16" s="9">
        <f t="shared" si="2"/>
        <v>264.995</v>
      </c>
      <c r="F16" s="10">
        <f t="shared" si="3"/>
        <v>3740.0050000000001</v>
      </c>
    </row>
    <row r="17" spans="1:6">
      <c r="A17" s="5" t="s">
        <v>22</v>
      </c>
      <c r="B17" s="2">
        <v>2581</v>
      </c>
      <c r="C17" s="8">
        <f t="shared" si="0"/>
        <v>2</v>
      </c>
      <c r="D17" s="8">
        <f t="shared" si="1"/>
        <v>283.91000000000003</v>
      </c>
      <c r="E17" s="9">
        <f t="shared" si="2"/>
        <v>29.481750000000005</v>
      </c>
      <c r="F17" s="10">
        <f t="shared" si="3"/>
        <v>2267.6082500000002</v>
      </c>
    </row>
    <row r="18" spans="1:6">
      <c r="A18" s="5" t="s">
        <v>23</v>
      </c>
      <c r="B18" s="2">
        <v>1950</v>
      </c>
      <c r="C18" s="8">
        <f t="shared" si="0"/>
        <v>2</v>
      </c>
      <c r="D18" s="8">
        <f t="shared" si="1"/>
        <v>214.5</v>
      </c>
      <c r="E18" s="9">
        <f t="shared" si="2"/>
        <v>-12.637500000000017</v>
      </c>
      <c r="F18" s="10">
        <f t="shared" si="3"/>
        <v>1748.1375</v>
      </c>
    </row>
    <row r="19" spans="1:6">
      <c r="A19" s="5" t="s">
        <v>25</v>
      </c>
      <c r="B19" s="2">
        <v>2584</v>
      </c>
      <c r="C19" s="8">
        <f t="shared" si="0"/>
        <v>2</v>
      </c>
      <c r="D19" s="8">
        <f t="shared" si="1"/>
        <v>284.24</v>
      </c>
      <c r="E19" s="9">
        <f t="shared" si="2"/>
        <v>29.681999999999988</v>
      </c>
      <c r="F19" s="10">
        <f t="shared" si="3"/>
        <v>2270.0780000000004</v>
      </c>
    </row>
    <row r="20" spans="1:6">
      <c r="A20" s="5" t="s">
        <v>26</v>
      </c>
      <c r="B20" s="2">
        <v>3500</v>
      </c>
      <c r="C20" s="8">
        <f t="shared" si="0"/>
        <v>3</v>
      </c>
      <c r="D20" s="8">
        <f t="shared" si="1"/>
        <v>385</v>
      </c>
      <c r="E20" s="9">
        <f t="shared" si="2"/>
        <v>112.44999999999999</v>
      </c>
      <c r="F20" s="10">
        <f t="shared" si="3"/>
        <v>3002.55</v>
      </c>
    </row>
    <row r="21" spans="1:6">
      <c r="A21" s="5" t="s">
        <v>27</v>
      </c>
      <c r="B21" s="2">
        <v>1980</v>
      </c>
      <c r="C21" s="8">
        <f t="shared" si="0"/>
        <v>2</v>
      </c>
      <c r="D21" s="8">
        <f t="shared" si="1"/>
        <v>217.8</v>
      </c>
      <c r="E21" s="9">
        <f t="shared" si="2"/>
        <v>-10.635000000000019</v>
      </c>
      <c r="F21" s="10">
        <f t="shared" si="3"/>
        <v>1772.835</v>
      </c>
    </row>
    <row r="22" spans="1:6">
      <c r="A22" s="5" t="s">
        <v>28</v>
      </c>
      <c r="B22" s="2">
        <v>2840</v>
      </c>
      <c r="C22" s="8">
        <f t="shared" si="0"/>
        <v>3</v>
      </c>
      <c r="D22" s="8">
        <f t="shared" si="1"/>
        <v>312.39999999999998</v>
      </c>
      <c r="E22" s="9">
        <f t="shared" si="2"/>
        <v>24.339999999999975</v>
      </c>
      <c r="F22" s="10">
        <f t="shared" si="3"/>
        <v>2503.2599999999998</v>
      </c>
    </row>
    <row r="23" spans="1:6">
      <c r="A23" s="5" t="s">
        <v>29</v>
      </c>
      <c r="B23" s="2">
        <v>4590</v>
      </c>
      <c r="C23" s="8">
        <f t="shared" si="0"/>
        <v>4</v>
      </c>
      <c r="D23" s="8">
        <f t="shared" si="1"/>
        <v>504.9</v>
      </c>
      <c r="E23" s="9">
        <f t="shared" si="2"/>
        <v>283.01750000000004</v>
      </c>
      <c r="F23" s="10">
        <f t="shared" si="3"/>
        <v>3802.0825</v>
      </c>
    </row>
    <row r="24" spans="1:6">
      <c r="A24" s="5" t="s">
        <v>11</v>
      </c>
      <c r="B24" s="2">
        <v>1580</v>
      </c>
      <c r="C24" s="8">
        <f t="shared" si="0"/>
        <v>1</v>
      </c>
      <c r="D24" s="8">
        <f t="shared" si="1"/>
        <v>173.8</v>
      </c>
      <c r="E24" s="9">
        <f t="shared" si="2"/>
        <v>0</v>
      </c>
      <c r="F24" s="10">
        <f t="shared" si="3"/>
        <v>1406.2</v>
      </c>
    </row>
    <row r="25" spans="1:6">
      <c r="A25" s="5" t="s">
        <v>30</v>
      </c>
      <c r="B25" s="2">
        <v>5400</v>
      </c>
      <c r="C25" s="8">
        <f t="shared" si="0"/>
        <v>5</v>
      </c>
      <c r="D25" s="8">
        <f t="shared" si="1"/>
        <v>594</v>
      </c>
      <c r="E25" s="9">
        <f t="shared" si="2"/>
        <v>452.29000000000008</v>
      </c>
      <c r="F25" s="10">
        <f t="shared" si="3"/>
        <v>4353.71</v>
      </c>
    </row>
    <row r="26" spans="1:6">
      <c r="A26" s="5" t="s">
        <v>31</v>
      </c>
      <c r="B26" s="2">
        <v>8500</v>
      </c>
      <c r="C26" s="8">
        <f t="shared" si="0"/>
        <v>5</v>
      </c>
      <c r="D26" s="8">
        <f t="shared" si="1"/>
        <v>935</v>
      </c>
      <c r="E26" s="9">
        <f t="shared" si="2"/>
        <v>1211.0149999999999</v>
      </c>
      <c r="F26" s="10">
        <f t="shared" si="3"/>
        <v>6353.9850000000006</v>
      </c>
    </row>
    <row r="27" spans="1:6">
      <c r="A27" s="5" t="s">
        <v>11</v>
      </c>
      <c r="B27" s="2">
        <v>1200</v>
      </c>
      <c r="C27" s="8">
        <f t="shared" si="0"/>
        <v>1</v>
      </c>
      <c r="D27" s="8">
        <f t="shared" si="1"/>
        <v>132</v>
      </c>
      <c r="E27" s="9">
        <f t="shared" si="2"/>
        <v>0</v>
      </c>
      <c r="F27" s="10">
        <f t="shared" si="3"/>
        <v>1068</v>
      </c>
    </row>
    <row r="28" spans="1:6">
      <c r="A28" s="5" t="s">
        <v>32</v>
      </c>
      <c r="B28" s="2">
        <v>3200</v>
      </c>
      <c r="C28" s="8">
        <f t="shared" si="0"/>
        <v>3</v>
      </c>
      <c r="D28" s="8">
        <f t="shared" si="1"/>
        <v>352</v>
      </c>
      <c r="E28" s="9">
        <f t="shared" si="2"/>
        <v>72.399999999999977</v>
      </c>
      <c r="F28" s="10">
        <f t="shared" si="3"/>
        <v>2775.6</v>
      </c>
    </row>
    <row r="29" spans="1:6">
      <c r="A29" s="5" t="s">
        <v>33</v>
      </c>
      <c r="B29" s="2">
        <v>2500</v>
      </c>
      <c r="C29" s="8">
        <f t="shared" si="0"/>
        <v>2</v>
      </c>
      <c r="D29" s="8">
        <f t="shared" si="1"/>
        <v>275</v>
      </c>
      <c r="E29" s="9">
        <f t="shared" si="2"/>
        <v>24.074999999999989</v>
      </c>
      <c r="F29" s="10">
        <f t="shared" si="3"/>
        <v>2200.9250000000002</v>
      </c>
    </row>
    <row r="30" spans="1:6">
      <c r="A30" s="5" t="s">
        <v>34</v>
      </c>
      <c r="B30" s="2">
        <v>4650</v>
      </c>
      <c r="C30" s="8">
        <f t="shared" si="0"/>
        <v>4</v>
      </c>
      <c r="D30" s="8">
        <f t="shared" si="1"/>
        <v>511.5</v>
      </c>
      <c r="E30" s="9">
        <f t="shared" si="2"/>
        <v>295.03250000000003</v>
      </c>
      <c r="F30" s="10">
        <f t="shared" si="3"/>
        <v>3843.4674999999997</v>
      </c>
    </row>
    <row r="31" spans="1:6">
      <c r="A31" s="5" t="s">
        <v>35</v>
      </c>
      <c r="B31" s="2">
        <v>1200</v>
      </c>
      <c r="C31" s="8">
        <f t="shared" si="0"/>
        <v>1</v>
      </c>
      <c r="D31" s="8">
        <f t="shared" si="1"/>
        <v>132</v>
      </c>
      <c r="E31" s="9">
        <f t="shared" si="2"/>
        <v>0</v>
      </c>
      <c r="F31" s="10">
        <f t="shared" si="3"/>
        <v>1068</v>
      </c>
    </row>
    <row r="32" spans="1:6">
      <c r="A32" s="5" t="s">
        <v>36</v>
      </c>
      <c r="B32" s="2">
        <v>5800</v>
      </c>
      <c r="C32" s="8">
        <f t="shared" si="0"/>
        <v>5</v>
      </c>
      <c r="D32" s="8">
        <f t="shared" si="1"/>
        <v>638</v>
      </c>
      <c r="E32" s="9">
        <f t="shared" si="2"/>
        <v>550.19000000000017</v>
      </c>
      <c r="F32" s="10">
        <f t="shared" si="3"/>
        <v>4611.8099999999995</v>
      </c>
    </row>
    <row r="33" spans="1:6">
      <c r="A33" s="5" t="s">
        <v>37</v>
      </c>
      <c r="B33" s="2">
        <v>2400</v>
      </c>
      <c r="C33" s="8">
        <f t="shared" si="0"/>
        <v>2</v>
      </c>
      <c r="D33" s="8">
        <f t="shared" si="1"/>
        <v>264</v>
      </c>
      <c r="E33" s="9">
        <f t="shared" si="2"/>
        <v>17.399999999999977</v>
      </c>
      <c r="F33" s="10">
        <f t="shared" si="3"/>
        <v>2118.6</v>
      </c>
    </row>
    <row r="34" spans="1:6">
      <c r="A34" s="5" t="s">
        <v>38</v>
      </c>
      <c r="B34" s="2">
        <v>4500</v>
      </c>
      <c r="C34" s="8">
        <f t="shared" si="0"/>
        <v>4</v>
      </c>
      <c r="D34" s="8">
        <f t="shared" si="1"/>
        <v>495</v>
      </c>
      <c r="E34" s="9">
        <f t="shared" si="2"/>
        <v>264.995</v>
      </c>
      <c r="F34" s="10">
        <f t="shared" si="3"/>
        <v>3740.0050000000001</v>
      </c>
    </row>
    <row r="35" spans="1:6">
      <c r="A35" s="5" t="s">
        <v>39</v>
      </c>
      <c r="B35" s="2">
        <v>4600</v>
      </c>
      <c r="C35" s="8">
        <f t="shared" si="0"/>
        <v>4</v>
      </c>
      <c r="D35" s="8">
        <f t="shared" si="1"/>
        <v>506</v>
      </c>
      <c r="E35" s="9">
        <f t="shared" si="2"/>
        <v>285.02</v>
      </c>
      <c r="F35" s="10">
        <f t="shared" si="3"/>
        <v>3808.98</v>
      </c>
    </row>
    <row r="36" spans="1:6">
      <c r="A36" s="5" t="s">
        <v>40</v>
      </c>
      <c r="B36" s="2">
        <v>1600</v>
      </c>
      <c r="C36" s="8">
        <f t="shared" si="0"/>
        <v>1</v>
      </c>
      <c r="D36" s="8">
        <f t="shared" si="1"/>
        <v>176</v>
      </c>
      <c r="E36" s="9">
        <f t="shared" si="2"/>
        <v>0</v>
      </c>
      <c r="F36" s="10">
        <f t="shared" si="3"/>
        <v>1424</v>
      </c>
    </row>
    <row r="37" spans="1:6">
      <c r="A37" s="5" t="s">
        <v>41</v>
      </c>
      <c r="B37" s="2">
        <v>2500</v>
      </c>
      <c r="C37" s="8">
        <f t="shared" si="0"/>
        <v>2</v>
      </c>
      <c r="D37" s="8">
        <f t="shared" si="1"/>
        <v>275</v>
      </c>
      <c r="E37" s="9">
        <f t="shared" si="2"/>
        <v>24.074999999999989</v>
      </c>
      <c r="F37" s="10">
        <f t="shared" si="3"/>
        <v>2200.9250000000002</v>
      </c>
    </row>
    <row r="38" spans="1:6">
      <c r="A38" s="5" t="s">
        <v>42</v>
      </c>
      <c r="B38" s="2">
        <v>1400</v>
      </c>
      <c r="C38" s="8">
        <f t="shared" si="0"/>
        <v>1</v>
      </c>
      <c r="D38" s="8">
        <f t="shared" si="1"/>
        <v>154</v>
      </c>
      <c r="E38" s="9">
        <f t="shared" si="2"/>
        <v>0</v>
      </c>
      <c r="F38" s="10">
        <f t="shared" si="3"/>
        <v>1246</v>
      </c>
    </row>
    <row r="39" spans="1:6">
      <c r="A39" s="5" t="s">
        <v>43</v>
      </c>
      <c r="B39" s="2">
        <v>1600</v>
      </c>
      <c r="C39" s="8">
        <f t="shared" si="0"/>
        <v>1</v>
      </c>
      <c r="D39" s="8">
        <f t="shared" si="1"/>
        <v>176</v>
      </c>
      <c r="E39" s="9">
        <f t="shared" si="2"/>
        <v>0</v>
      </c>
      <c r="F39" s="10">
        <f t="shared" si="3"/>
        <v>1424</v>
      </c>
    </row>
    <row r="40" spans="1:6">
      <c r="A40" s="5" t="s">
        <v>44</v>
      </c>
      <c r="B40" s="2">
        <v>2540</v>
      </c>
      <c r="C40" s="8">
        <f t="shared" si="0"/>
        <v>2</v>
      </c>
      <c r="D40" s="8">
        <f t="shared" si="1"/>
        <v>279.39999999999998</v>
      </c>
      <c r="E40" s="9">
        <f t="shared" si="2"/>
        <v>26.744999999999976</v>
      </c>
      <c r="F40" s="10">
        <f t="shared" si="3"/>
        <v>2233.855</v>
      </c>
    </row>
  </sheetData>
  <mergeCells count="3">
    <mergeCell ref="I1:L1"/>
    <mergeCell ref="I2:L2"/>
    <mergeCell ref="N4:P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Hewlett-Packard Company</dc:creator>
  <cp:lastModifiedBy>Bruno</cp:lastModifiedBy>
  <dcterms:created xsi:type="dcterms:W3CDTF">2018-03-21T13:06:47Z</dcterms:created>
  <dcterms:modified xsi:type="dcterms:W3CDTF">2018-09-19T19:48:49Z</dcterms:modified>
</cp:coreProperties>
</file>