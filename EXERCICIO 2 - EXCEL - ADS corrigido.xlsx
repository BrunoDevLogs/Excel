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620"/>
  </bookViews>
  <sheets>
    <sheet name="Planilha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/>
  <c r="I10"/>
  <c r="I11"/>
  <c r="I12"/>
  <c r="I13"/>
  <c r="I14"/>
  <c r="I15"/>
  <c r="I16"/>
  <c r="I17"/>
  <c r="I18"/>
  <c r="I19"/>
  <c r="I20"/>
  <c r="I21"/>
  <c r="I22"/>
  <c r="I8"/>
  <c r="H9"/>
  <c r="H10"/>
  <c r="H11"/>
  <c r="H12"/>
  <c r="H13"/>
  <c r="H14"/>
  <c r="H15"/>
  <c r="H16"/>
  <c r="H17"/>
  <c r="H18"/>
  <c r="H19"/>
  <c r="H20"/>
  <c r="H21"/>
  <c r="H22"/>
  <c r="C27"/>
  <c r="C26"/>
  <c r="C24"/>
  <c r="H8"/>
  <c r="J9"/>
  <c r="J10"/>
  <c r="J11"/>
  <c r="J12"/>
  <c r="J13"/>
  <c r="J14"/>
  <c r="J15"/>
  <c r="J16"/>
  <c r="J17"/>
  <c r="J18"/>
  <c r="J19"/>
  <c r="J20"/>
  <c r="J21"/>
  <c r="J22"/>
  <c r="J8"/>
  <c r="G9"/>
  <c r="G10"/>
  <c r="G11"/>
  <c r="G12"/>
  <c r="G13"/>
  <c r="G14"/>
  <c r="G15"/>
  <c r="G16"/>
  <c r="G17"/>
  <c r="G18"/>
  <c r="G19"/>
  <c r="G20"/>
  <c r="G21"/>
  <c r="G22"/>
  <c r="G8"/>
  <c r="C23" l="1"/>
</calcChain>
</file>

<file path=xl/sharedStrings.xml><?xml version="1.0" encoding="utf-8"?>
<sst xmlns="http://schemas.openxmlformats.org/spreadsheetml/2006/main" count="36" uniqueCount="34">
  <si>
    <t>BALANÇO</t>
  </si>
  <si>
    <t>Mês de Março</t>
  </si>
  <si>
    <t>Lucro:</t>
  </si>
  <si>
    <t>(formula)</t>
  </si>
  <si>
    <t>(funcao)</t>
  </si>
  <si>
    <t>Produto</t>
  </si>
  <si>
    <t>Valor da Compra</t>
  </si>
  <si>
    <t>Qt. Comprada</t>
  </si>
  <si>
    <t>Valor de Venda</t>
  </si>
  <si>
    <t>Qt. Vendida</t>
  </si>
  <si>
    <t>Venda Estimada</t>
  </si>
  <si>
    <t>Estimativa Final</t>
  </si>
  <si>
    <t>Relatório Final</t>
  </si>
  <si>
    <t>Compra do Mês</t>
  </si>
  <si>
    <t>Venda do Mês</t>
  </si>
  <si>
    <t>Camisa</t>
  </si>
  <si>
    <t xml:space="preserve">Calça </t>
  </si>
  <si>
    <t>Sapato</t>
  </si>
  <si>
    <t>Tênis</t>
  </si>
  <si>
    <t>Bolsa</t>
  </si>
  <si>
    <t>Caderno</t>
  </si>
  <si>
    <t>Caneta</t>
  </si>
  <si>
    <t>Borracha</t>
  </si>
  <si>
    <t>Régua</t>
  </si>
  <si>
    <t>Lápis</t>
  </si>
  <si>
    <t>Cama</t>
  </si>
  <si>
    <t>Cadeira</t>
  </si>
  <si>
    <t>Mesa</t>
  </si>
  <si>
    <t>TV</t>
  </si>
  <si>
    <t>Geladeira</t>
  </si>
  <si>
    <t>DESPESA TOTAL COMPRA:</t>
  </si>
  <si>
    <t>VENDA TOTAL:</t>
  </si>
  <si>
    <t>TOTAL ESTIMADO:</t>
  </si>
  <si>
    <t>TOTAL VENDIDO:</t>
  </si>
</sst>
</file>

<file path=xl/styles.xml><?xml version="1.0" encoding="utf-8"?>
<styleSheet xmlns="http://schemas.openxmlformats.org/spreadsheetml/2006/main">
  <numFmts count="2">
    <numFmt numFmtId="7" formatCode="&quot;R$&quot;\ #,##0.00;\-&quot;R$&quot;\ #,##0.00"/>
    <numFmt numFmtId="164" formatCode="_-&quot;R$&quot;* #,##0.00_-;\-&quot;R$&quot;* #,##0.00_-;_-&quot;R$&quot;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0"/>
      <name val="Arial"/>
    </font>
    <font>
      <b/>
      <i/>
      <sz val="11"/>
      <name val="Arial"/>
    </font>
    <font>
      <i/>
      <sz val="10"/>
      <name val="Arial"/>
      <family val="2"/>
    </font>
    <font>
      <i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164" fontId="0" fillId="0" borderId="0" xfId="1" applyFont="1" applyBorder="1"/>
    <xf numFmtId="0" fontId="0" fillId="0" borderId="0" xfId="0" applyBorder="1"/>
    <xf numFmtId="7" fontId="7" fillId="0" borderId="0" xfId="0" applyNumberFormat="1" applyFont="1" applyBorder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164" fontId="8" fillId="0" borderId="0" xfId="1" applyFont="1" applyBorder="1"/>
    <xf numFmtId="164" fontId="8" fillId="0" borderId="5" xfId="1" applyFont="1" applyBorder="1"/>
    <xf numFmtId="0" fontId="6" fillId="2" borderId="6" xfId="0" applyFont="1" applyFill="1" applyBorder="1" applyAlignment="1">
      <alignment horizontal="left"/>
    </xf>
    <xf numFmtId="164" fontId="0" fillId="0" borderId="7" xfId="1" applyFont="1" applyBorder="1"/>
    <xf numFmtId="0" fontId="0" fillId="0" borderId="7" xfId="0" applyBorder="1"/>
    <xf numFmtId="7" fontId="7" fillId="0" borderId="7" xfId="0" applyNumberFormat="1" applyFont="1" applyBorder="1"/>
    <xf numFmtId="0" fontId="5" fillId="0" borderId="8" xfId="0" applyFont="1" applyBorder="1"/>
    <xf numFmtId="164" fontId="5" fillId="0" borderId="9" xfId="1" applyFont="1" applyBorder="1"/>
    <xf numFmtId="0" fontId="5" fillId="0" borderId="10" xfId="0" applyFont="1" applyBorder="1"/>
    <xf numFmtId="164" fontId="5" fillId="0" borderId="11" xfId="1" applyFont="1" applyBorder="1"/>
    <xf numFmtId="0" fontId="5" fillId="0" borderId="9" xfId="0" applyFont="1" applyBorder="1"/>
    <xf numFmtId="0" fontId="5" fillId="0" borderId="11" xfId="0" applyFont="1" applyBorder="1"/>
    <xf numFmtId="164" fontId="5" fillId="0" borderId="8" xfId="0" applyNumberFormat="1" applyFont="1" applyBorder="1"/>
    <xf numFmtId="164" fontId="5" fillId="0" borderId="10" xfId="0" applyNumberFormat="1" applyFont="1" applyBorder="1"/>
  </cellXfs>
  <cellStyles count="2">
    <cellStyle name="Moeda" xfId="1" builtinId="4"/>
    <cellStyle name="Normal" xfId="0" builtinId="0"/>
  </cellStyles>
  <dxfs count="2"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76200</xdr:rowOff>
    </xdr:from>
    <xdr:to>
      <xdr:col>8</xdr:col>
      <xdr:colOff>561975</xdr:colOff>
      <xdr:row>1</xdr:row>
      <xdr:rowOff>57150</xdr:rowOff>
    </xdr:to>
    <xdr:sp macro="" textlink="">
      <xdr:nvSpPr>
        <xdr:cNvPr id="2" name="Text Box 6"/>
        <xdr:cNvSpPr txBox="1">
          <a:spLocks noChangeArrowheads="1"/>
        </xdr:cNvSpPr>
      </xdr:nvSpPr>
      <xdr:spPr bwMode="auto">
        <a:xfrm>
          <a:off x="6515100" y="76200"/>
          <a:ext cx="26765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=Quantidade Vendida - Venda Estimada</a:t>
          </a:r>
        </a:p>
      </xdr:txBody>
    </xdr:sp>
    <xdr:clientData/>
  </xdr:twoCellAnchor>
  <xdr:twoCellAnchor>
    <xdr:from>
      <xdr:col>6</xdr:col>
      <xdr:colOff>285750</xdr:colOff>
      <xdr:row>1</xdr:row>
      <xdr:rowOff>57150</xdr:rowOff>
    </xdr:from>
    <xdr:to>
      <xdr:col>6</xdr:col>
      <xdr:colOff>314325</xdr:colOff>
      <xdr:row>5</xdr:row>
      <xdr:rowOff>66675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6772275" y="285750"/>
          <a:ext cx="28575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504825</xdr:colOff>
      <xdr:row>1</xdr:row>
      <xdr:rowOff>152400</xdr:rowOff>
    </xdr:from>
    <xdr:to>
      <xdr:col>8</xdr:col>
      <xdr:colOff>561975</xdr:colOff>
      <xdr:row>4</xdr:row>
      <xdr:rowOff>19050</xdr:rowOff>
    </xdr:to>
    <xdr:sp macro="" textlink="">
      <xdr:nvSpPr>
        <xdr:cNvPr id="4" name="Text Box 10"/>
        <xdr:cNvSpPr txBox="1">
          <a:spLocks noChangeArrowheads="1"/>
        </xdr:cNvSpPr>
      </xdr:nvSpPr>
      <xdr:spPr bwMode="auto">
        <a:xfrm>
          <a:off x="6991350" y="381000"/>
          <a:ext cx="2200275" cy="390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Arial"/>
              <a:cs typeface="Arial"/>
            </a:rPr>
            <a:t>SE estimativa final for positiva "agradavel" senão Desagradável"</a:t>
          </a: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285750</xdr:colOff>
      <xdr:row>4</xdr:row>
      <xdr:rowOff>19050</xdr:rowOff>
    </xdr:from>
    <xdr:to>
      <xdr:col>7</xdr:col>
      <xdr:colOff>285750</xdr:colOff>
      <xdr:row>5</xdr:row>
      <xdr:rowOff>47625</xdr:rowOff>
    </xdr:to>
    <xdr:sp macro="" textlink="">
      <xdr:nvSpPr>
        <xdr:cNvPr id="5" name="Line 12"/>
        <xdr:cNvSpPr>
          <a:spLocks noChangeShapeType="1"/>
        </xdr:cNvSpPr>
      </xdr:nvSpPr>
      <xdr:spPr bwMode="auto">
        <a:xfrm>
          <a:off x="7915275" y="7715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638175</xdr:colOff>
      <xdr:row>0</xdr:row>
      <xdr:rowOff>85725</xdr:rowOff>
    </xdr:from>
    <xdr:to>
      <xdr:col>11</xdr:col>
      <xdr:colOff>266700</xdr:colOff>
      <xdr:row>1</xdr:row>
      <xdr:rowOff>47625</xdr:rowOff>
    </xdr:to>
    <xdr:sp macro="" textlink="">
      <xdr:nvSpPr>
        <xdr:cNvPr id="6" name="Text Box 13"/>
        <xdr:cNvSpPr txBox="1">
          <a:spLocks noChangeArrowheads="1"/>
        </xdr:cNvSpPr>
      </xdr:nvSpPr>
      <xdr:spPr bwMode="auto">
        <a:xfrm>
          <a:off x="9267825" y="85725"/>
          <a:ext cx="27908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Arial"/>
              <a:cs typeface="Arial"/>
            </a:rPr>
            <a:t>=Valor da Compra * Qauntidade Comprada</a:t>
          </a:r>
        </a:p>
      </xdr:txBody>
    </xdr:sp>
    <xdr:clientData/>
  </xdr:twoCellAnchor>
  <xdr:twoCellAnchor>
    <xdr:from>
      <xdr:col>8</xdr:col>
      <xdr:colOff>704850</xdr:colOff>
      <xdr:row>1</xdr:row>
      <xdr:rowOff>28575</xdr:rowOff>
    </xdr:from>
    <xdr:to>
      <xdr:col>9</xdr:col>
      <xdr:colOff>209550</xdr:colOff>
      <xdr:row>5</xdr:row>
      <xdr:rowOff>28575</xdr:rowOff>
    </xdr:to>
    <xdr:sp macro="" textlink="">
      <xdr:nvSpPr>
        <xdr:cNvPr id="7" name="Line 14"/>
        <xdr:cNvSpPr>
          <a:spLocks noChangeShapeType="1"/>
        </xdr:cNvSpPr>
      </xdr:nvSpPr>
      <xdr:spPr bwMode="auto">
        <a:xfrm flipH="1">
          <a:off x="9334500" y="257175"/>
          <a:ext cx="723900" cy="685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1190625</xdr:colOff>
      <xdr:row>2</xdr:row>
      <xdr:rowOff>38100</xdr:rowOff>
    </xdr:from>
    <xdr:to>
      <xdr:col>11</xdr:col>
      <xdr:colOff>361950</xdr:colOff>
      <xdr:row>3</xdr:row>
      <xdr:rowOff>66675</xdr:rowOff>
    </xdr:to>
    <xdr:sp macro="" textlink="">
      <xdr:nvSpPr>
        <xdr:cNvPr id="8" name="Text Box 15"/>
        <xdr:cNvSpPr txBox="1">
          <a:spLocks noChangeArrowheads="1"/>
        </xdr:cNvSpPr>
      </xdr:nvSpPr>
      <xdr:spPr bwMode="auto">
        <a:xfrm>
          <a:off x="9820275" y="466725"/>
          <a:ext cx="23336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Arial"/>
              <a:cs typeface="Arial"/>
            </a:rPr>
            <a:t>=Valor de Vanda * Qauntidade Vendida</a:t>
          </a:r>
        </a:p>
      </xdr:txBody>
    </xdr:sp>
    <xdr:clientData/>
  </xdr:twoCellAnchor>
  <xdr:twoCellAnchor>
    <xdr:from>
      <xdr:col>9</xdr:col>
      <xdr:colOff>742950</xdr:colOff>
      <xdr:row>3</xdr:row>
      <xdr:rowOff>85725</xdr:rowOff>
    </xdr:from>
    <xdr:to>
      <xdr:col>10</xdr:col>
      <xdr:colOff>19050</xdr:colOff>
      <xdr:row>5</xdr:row>
      <xdr:rowOff>85725</xdr:rowOff>
    </xdr:to>
    <xdr:sp macro="" textlink="">
      <xdr:nvSpPr>
        <xdr:cNvPr id="9" name="Line 16"/>
        <xdr:cNvSpPr>
          <a:spLocks noChangeShapeType="1"/>
        </xdr:cNvSpPr>
      </xdr:nvSpPr>
      <xdr:spPr bwMode="auto">
        <a:xfrm flipH="1">
          <a:off x="10591800" y="676275"/>
          <a:ext cx="45720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>
      <selection activeCell="I26" sqref="I26"/>
    </sheetView>
  </sheetViews>
  <sheetFormatPr defaultColWidth="11.42578125" defaultRowHeight="15"/>
  <cols>
    <col min="1" max="1" width="17.140625" customWidth="1"/>
    <col min="2" max="2" width="15.28515625" customWidth="1"/>
    <col min="3" max="3" width="13.85546875" customWidth="1"/>
    <col min="4" max="4" width="19.28515625" customWidth="1"/>
    <col min="5" max="5" width="12.85546875" customWidth="1"/>
    <col min="6" max="6" width="18.85546875" customWidth="1"/>
    <col min="7" max="7" width="17.140625" customWidth="1"/>
    <col min="8" max="8" width="15" customWidth="1"/>
    <col min="9" max="9" width="18.28515625" customWidth="1"/>
    <col min="10" max="10" width="17.7109375" customWidth="1"/>
    <col min="257" max="257" width="17.140625" customWidth="1"/>
    <col min="258" max="258" width="15.28515625" customWidth="1"/>
    <col min="259" max="259" width="13.85546875" customWidth="1"/>
    <col min="260" max="260" width="19.28515625" customWidth="1"/>
    <col min="261" max="261" width="12.85546875" customWidth="1"/>
    <col min="262" max="262" width="18.85546875" customWidth="1"/>
    <col min="263" max="263" width="17.140625" customWidth="1"/>
    <col min="264" max="264" width="15" customWidth="1"/>
    <col min="265" max="265" width="18.28515625" customWidth="1"/>
    <col min="266" max="266" width="17.7109375" customWidth="1"/>
    <col min="513" max="513" width="17.140625" customWidth="1"/>
    <col min="514" max="514" width="15.28515625" customWidth="1"/>
    <col min="515" max="515" width="13.85546875" customWidth="1"/>
    <col min="516" max="516" width="19.28515625" customWidth="1"/>
    <col min="517" max="517" width="12.85546875" customWidth="1"/>
    <col min="518" max="518" width="18.85546875" customWidth="1"/>
    <col min="519" max="519" width="17.140625" customWidth="1"/>
    <col min="520" max="520" width="15" customWidth="1"/>
    <col min="521" max="521" width="18.28515625" customWidth="1"/>
    <col min="522" max="522" width="17.7109375" customWidth="1"/>
    <col min="769" max="769" width="17.140625" customWidth="1"/>
    <col min="770" max="770" width="15.28515625" customWidth="1"/>
    <col min="771" max="771" width="13.85546875" customWidth="1"/>
    <col min="772" max="772" width="19.28515625" customWidth="1"/>
    <col min="773" max="773" width="12.85546875" customWidth="1"/>
    <col min="774" max="774" width="18.85546875" customWidth="1"/>
    <col min="775" max="775" width="17.140625" customWidth="1"/>
    <col min="776" max="776" width="15" customWidth="1"/>
    <col min="777" max="777" width="18.28515625" customWidth="1"/>
    <col min="778" max="778" width="17.7109375" customWidth="1"/>
    <col min="1025" max="1025" width="17.140625" customWidth="1"/>
    <col min="1026" max="1026" width="15.28515625" customWidth="1"/>
    <col min="1027" max="1027" width="13.85546875" customWidth="1"/>
    <col min="1028" max="1028" width="19.28515625" customWidth="1"/>
    <col min="1029" max="1029" width="12.85546875" customWidth="1"/>
    <col min="1030" max="1030" width="18.85546875" customWidth="1"/>
    <col min="1031" max="1031" width="17.140625" customWidth="1"/>
    <col min="1032" max="1032" width="15" customWidth="1"/>
    <col min="1033" max="1033" width="18.28515625" customWidth="1"/>
    <col min="1034" max="1034" width="17.7109375" customWidth="1"/>
    <col min="1281" max="1281" width="17.140625" customWidth="1"/>
    <col min="1282" max="1282" width="15.28515625" customWidth="1"/>
    <col min="1283" max="1283" width="13.85546875" customWidth="1"/>
    <col min="1284" max="1284" width="19.28515625" customWidth="1"/>
    <col min="1285" max="1285" width="12.85546875" customWidth="1"/>
    <col min="1286" max="1286" width="18.85546875" customWidth="1"/>
    <col min="1287" max="1287" width="17.140625" customWidth="1"/>
    <col min="1288" max="1288" width="15" customWidth="1"/>
    <col min="1289" max="1289" width="18.28515625" customWidth="1"/>
    <col min="1290" max="1290" width="17.7109375" customWidth="1"/>
    <col min="1537" max="1537" width="17.140625" customWidth="1"/>
    <col min="1538" max="1538" width="15.28515625" customWidth="1"/>
    <col min="1539" max="1539" width="13.85546875" customWidth="1"/>
    <col min="1540" max="1540" width="19.28515625" customWidth="1"/>
    <col min="1541" max="1541" width="12.85546875" customWidth="1"/>
    <col min="1542" max="1542" width="18.85546875" customWidth="1"/>
    <col min="1543" max="1543" width="17.140625" customWidth="1"/>
    <col min="1544" max="1544" width="15" customWidth="1"/>
    <col min="1545" max="1545" width="18.28515625" customWidth="1"/>
    <col min="1546" max="1546" width="17.7109375" customWidth="1"/>
    <col min="1793" max="1793" width="17.140625" customWidth="1"/>
    <col min="1794" max="1794" width="15.28515625" customWidth="1"/>
    <col min="1795" max="1795" width="13.85546875" customWidth="1"/>
    <col min="1796" max="1796" width="19.28515625" customWidth="1"/>
    <col min="1797" max="1797" width="12.85546875" customWidth="1"/>
    <col min="1798" max="1798" width="18.85546875" customWidth="1"/>
    <col min="1799" max="1799" width="17.140625" customWidth="1"/>
    <col min="1800" max="1800" width="15" customWidth="1"/>
    <col min="1801" max="1801" width="18.28515625" customWidth="1"/>
    <col min="1802" max="1802" width="17.7109375" customWidth="1"/>
    <col min="2049" max="2049" width="17.140625" customWidth="1"/>
    <col min="2050" max="2050" width="15.28515625" customWidth="1"/>
    <col min="2051" max="2051" width="13.85546875" customWidth="1"/>
    <col min="2052" max="2052" width="19.28515625" customWidth="1"/>
    <col min="2053" max="2053" width="12.85546875" customWidth="1"/>
    <col min="2054" max="2054" width="18.85546875" customWidth="1"/>
    <col min="2055" max="2055" width="17.140625" customWidth="1"/>
    <col min="2056" max="2056" width="15" customWidth="1"/>
    <col min="2057" max="2057" width="18.28515625" customWidth="1"/>
    <col min="2058" max="2058" width="17.7109375" customWidth="1"/>
    <col min="2305" max="2305" width="17.140625" customWidth="1"/>
    <col min="2306" max="2306" width="15.28515625" customWidth="1"/>
    <col min="2307" max="2307" width="13.85546875" customWidth="1"/>
    <col min="2308" max="2308" width="19.28515625" customWidth="1"/>
    <col min="2309" max="2309" width="12.85546875" customWidth="1"/>
    <col min="2310" max="2310" width="18.85546875" customWidth="1"/>
    <col min="2311" max="2311" width="17.140625" customWidth="1"/>
    <col min="2312" max="2312" width="15" customWidth="1"/>
    <col min="2313" max="2313" width="18.28515625" customWidth="1"/>
    <col min="2314" max="2314" width="17.7109375" customWidth="1"/>
    <col min="2561" max="2561" width="17.140625" customWidth="1"/>
    <col min="2562" max="2562" width="15.28515625" customWidth="1"/>
    <col min="2563" max="2563" width="13.85546875" customWidth="1"/>
    <col min="2564" max="2564" width="19.28515625" customWidth="1"/>
    <col min="2565" max="2565" width="12.85546875" customWidth="1"/>
    <col min="2566" max="2566" width="18.85546875" customWidth="1"/>
    <col min="2567" max="2567" width="17.140625" customWidth="1"/>
    <col min="2568" max="2568" width="15" customWidth="1"/>
    <col min="2569" max="2569" width="18.28515625" customWidth="1"/>
    <col min="2570" max="2570" width="17.7109375" customWidth="1"/>
    <col min="2817" max="2817" width="17.140625" customWidth="1"/>
    <col min="2818" max="2818" width="15.28515625" customWidth="1"/>
    <col min="2819" max="2819" width="13.85546875" customWidth="1"/>
    <col min="2820" max="2820" width="19.28515625" customWidth="1"/>
    <col min="2821" max="2821" width="12.85546875" customWidth="1"/>
    <col min="2822" max="2822" width="18.85546875" customWidth="1"/>
    <col min="2823" max="2823" width="17.140625" customWidth="1"/>
    <col min="2824" max="2824" width="15" customWidth="1"/>
    <col min="2825" max="2825" width="18.28515625" customWidth="1"/>
    <col min="2826" max="2826" width="17.7109375" customWidth="1"/>
    <col min="3073" max="3073" width="17.140625" customWidth="1"/>
    <col min="3074" max="3074" width="15.28515625" customWidth="1"/>
    <col min="3075" max="3075" width="13.85546875" customWidth="1"/>
    <col min="3076" max="3076" width="19.28515625" customWidth="1"/>
    <col min="3077" max="3077" width="12.85546875" customWidth="1"/>
    <col min="3078" max="3078" width="18.85546875" customWidth="1"/>
    <col min="3079" max="3079" width="17.140625" customWidth="1"/>
    <col min="3080" max="3080" width="15" customWidth="1"/>
    <col min="3081" max="3081" width="18.28515625" customWidth="1"/>
    <col min="3082" max="3082" width="17.7109375" customWidth="1"/>
    <col min="3329" max="3329" width="17.140625" customWidth="1"/>
    <col min="3330" max="3330" width="15.28515625" customWidth="1"/>
    <col min="3331" max="3331" width="13.85546875" customWidth="1"/>
    <col min="3332" max="3332" width="19.28515625" customWidth="1"/>
    <col min="3333" max="3333" width="12.85546875" customWidth="1"/>
    <col min="3334" max="3334" width="18.85546875" customWidth="1"/>
    <col min="3335" max="3335" width="17.140625" customWidth="1"/>
    <col min="3336" max="3336" width="15" customWidth="1"/>
    <col min="3337" max="3337" width="18.28515625" customWidth="1"/>
    <col min="3338" max="3338" width="17.7109375" customWidth="1"/>
    <col min="3585" max="3585" width="17.140625" customWidth="1"/>
    <col min="3586" max="3586" width="15.28515625" customWidth="1"/>
    <col min="3587" max="3587" width="13.85546875" customWidth="1"/>
    <col min="3588" max="3588" width="19.28515625" customWidth="1"/>
    <col min="3589" max="3589" width="12.85546875" customWidth="1"/>
    <col min="3590" max="3590" width="18.85546875" customWidth="1"/>
    <col min="3591" max="3591" width="17.140625" customWidth="1"/>
    <col min="3592" max="3592" width="15" customWidth="1"/>
    <col min="3593" max="3593" width="18.28515625" customWidth="1"/>
    <col min="3594" max="3594" width="17.7109375" customWidth="1"/>
    <col min="3841" max="3841" width="17.140625" customWidth="1"/>
    <col min="3842" max="3842" width="15.28515625" customWidth="1"/>
    <col min="3843" max="3843" width="13.85546875" customWidth="1"/>
    <col min="3844" max="3844" width="19.28515625" customWidth="1"/>
    <col min="3845" max="3845" width="12.85546875" customWidth="1"/>
    <col min="3846" max="3846" width="18.85546875" customWidth="1"/>
    <col min="3847" max="3847" width="17.140625" customWidth="1"/>
    <col min="3848" max="3848" width="15" customWidth="1"/>
    <col min="3849" max="3849" width="18.28515625" customWidth="1"/>
    <col min="3850" max="3850" width="17.7109375" customWidth="1"/>
    <col min="4097" max="4097" width="17.140625" customWidth="1"/>
    <col min="4098" max="4098" width="15.28515625" customWidth="1"/>
    <col min="4099" max="4099" width="13.85546875" customWidth="1"/>
    <col min="4100" max="4100" width="19.28515625" customWidth="1"/>
    <col min="4101" max="4101" width="12.85546875" customWidth="1"/>
    <col min="4102" max="4102" width="18.85546875" customWidth="1"/>
    <col min="4103" max="4103" width="17.140625" customWidth="1"/>
    <col min="4104" max="4104" width="15" customWidth="1"/>
    <col min="4105" max="4105" width="18.28515625" customWidth="1"/>
    <col min="4106" max="4106" width="17.7109375" customWidth="1"/>
    <col min="4353" max="4353" width="17.140625" customWidth="1"/>
    <col min="4354" max="4354" width="15.28515625" customWidth="1"/>
    <col min="4355" max="4355" width="13.85546875" customWidth="1"/>
    <col min="4356" max="4356" width="19.28515625" customWidth="1"/>
    <col min="4357" max="4357" width="12.85546875" customWidth="1"/>
    <col min="4358" max="4358" width="18.85546875" customWidth="1"/>
    <col min="4359" max="4359" width="17.140625" customWidth="1"/>
    <col min="4360" max="4360" width="15" customWidth="1"/>
    <col min="4361" max="4361" width="18.28515625" customWidth="1"/>
    <col min="4362" max="4362" width="17.7109375" customWidth="1"/>
    <col min="4609" max="4609" width="17.140625" customWidth="1"/>
    <col min="4610" max="4610" width="15.28515625" customWidth="1"/>
    <col min="4611" max="4611" width="13.85546875" customWidth="1"/>
    <col min="4612" max="4612" width="19.28515625" customWidth="1"/>
    <col min="4613" max="4613" width="12.85546875" customWidth="1"/>
    <col min="4614" max="4614" width="18.85546875" customWidth="1"/>
    <col min="4615" max="4615" width="17.140625" customWidth="1"/>
    <col min="4616" max="4616" width="15" customWidth="1"/>
    <col min="4617" max="4617" width="18.28515625" customWidth="1"/>
    <col min="4618" max="4618" width="17.7109375" customWidth="1"/>
    <col min="4865" max="4865" width="17.140625" customWidth="1"/>
    <col min="4866" max="4866" width="15.28515625" customWidth="1"/>
    <col min="4867" max="4867" width="13.85546875" customWidth="1"/>
    <col min="4868" max="4868" width="19.28515625" customWidth="1"/>
    <col min="4869" max="4869" width="12.85546875" customWidth="1"/>
    <col min="4870" max="4870" width="18.85546875" customWidth="1"/>
    <col min="4871" max="4871" width="17.140625" customWidth="1"/>
    <col min="4872" max="4872" width="15" customWidth="1"/>
    <col min="4873" max="4873" width="18.28515625" customWidth="1"/>
    <col min="4874" max="4874" width="17.7109375" customWidth="1"/>
    <col min="5121" max="5121" width="17.140625" customWidth="1"/>
    <col min="5122" max="5122" width="15.28515625" customWidth="1"/>
    <col min="5123" max="5123" width="13.85546875" customWidth="1"/>
    <col min="5124" max="5124" width="19.28515625" customWidth="1"/>
    <col min="5125" max="5125" width="12.85546875" customWidth="1"/>
    <col min="5126" max="5126" width="18.85546875" customWidth="1"/>
    <col min="5127" max="5127" width="17.140625" customWidth="1"/>
    <col min="5128" max="5128" width="15" customWidth="1"/>
    <col min="5129" max="5129" width="18.28515625" customWidth="1"/>
    <col min="5130" max="5130" width="17.7109375" customWidth="1"/>
    <col min="5377" max="5377" width="17.140625" customWidth="1"/>
    <col min="5378" max="5378" width="15.28515625" customWidth="1"/>
    <col min="5379" max="5379" width="13.85546875" customWidth="1"/>
    <col min="5380" max="5380" width="19.28515625" customWidth="1"/>
    <col min="5381" max="5381" width="12.85546875" customWidth="1"/>
    <col min="5382" max="5382" width="18.85546875" customWidth="1"/>
    <col min="5383" max="5383" width="17.140625" customWidth="1"/>
    <col min="5384" max="5384" width="15" customWidth="1"/>
    <col min="5385" max="5385" width="18.28515625" customWidth="1"/>
    <col min="5386" max="5386" width="17.7109375" customWidth="1"/>
    <col min="5633" max="5633" width="17.140625" customWidth="1"/>
    <col min="5634" max="5634" width="15.28515625" customWidth="1"/>
    <col min="5635" max="5635" width="13.85546875" customWidth="1"/>
    <col min="5636" max="5636" width="19.28515625" customWidth="1"/>
    <col min="5637" max="5637" width="12.85546875" customWidth="1"/>
    <col min="5638" max="5638" width="18.85546875" customWidth="1"/>
    <col min="5639" max="5639" width="17.140625" customWidth="1"/>
    <col min="5640" max="5640" width="15" customWidth="1"/>
    <col min="5641" max="5641" width="18.28515625" customWidth="1"/>
    <col min="5642" max="5642" width="17.7109375" customWidth="1"/>
    <col min="5889" max="5889" width="17.140625" customWidth="1"/>
    <col min="5890" max="5890" width="15.28515625" customWidth="1"/>
    <col min="5891" max="5891" width="13.85546875" customWidth="1"/>
    <col min="5892" max="5892" width="19.28515625" customWidth="1"/>
    <col min="5893" max="5893" width="12.85546875" customWidth="1"/>
    <col min="5894" max="5894" width="18.85546875" customWidth="1"/>
    <col min="5895" max="5895" width="17.140625" customWidth="1"/>
    <col min="5896" max="5896" width="15" customWidth="1"/>
    <col min="5897" max="5897" width="18.28515625" customWidth="1"/>
    <col min="5898" max="5898" width="17.7109375" customWidth="1"/>
    <col min="6145" max="6145" width="17.140625" customWidth="1"/>
    <col min="6146" max="6146" width="15.28515625" customWidth="1"/>
    <col min="6147" max="6147" width="13.85546875" customWidth="1"/>
    <col min="6148" max="6148" width="19.28515625" customWidth="1"/>
    <col min="6149" max="6149" width="12.85546875" customWidth="1"/>
    <col min="6150" max="6150" width="18.85546875" customWidth="1"/>
    <col min="6151" max="6151" width="17.140625" customWidth="1"/>
    <col min="6152" max="6152" width="15" customWidth="1"/>
    <col min="6153" max="6153" width="18.28515625" customWidth="1"/>
    <col min="6154" max="6154" width="17.7109375" customWidth="1"/>
    <col min="6401" max="6401" width="17.140625" customWidth="1"/>
    <col min="6402" max="6402" width="15.28515625" customWidth="1"/>
    <col min="6403" max="6403" width="13.85546875" customWidth="1"/>
    <col min="6404" max="6404" width="19.28515625" customWidth="1"/>
    <col min="6405" max="6405" width="12.85546875" customWidth="1"/>
    <col min="6406" max="6406" width="18.85546875" customWidth="1"/>
    <col min="6407" max="6407" width="17.140625" customWidth="1"/>
    <col min="6408" max="6408" width="15" customWidth="1"/>
    <col min="6409" max="6409" width="18.28515625" customWidth="1"/>
    <col min="6410" max="6410" width="17.7109375" customWidth="1"/>
    <col min="6657" max="6657" width="17.140625" customWidth="1"/>
    <col min="6658" max="6658" width="15.28515625" customWidth="1"/>
    <col min="6659" max="6659" width="13.85546875" customWidth="1"/>
    <col min="6660" max="6660" width="19.28515625" customWidth="1"/>
    <col min="6661" max="6661" width="12.85546875" customWidth="1"/>
    <col min="6662" max="6662" width="18.85546875" customWidth="1"/>
    <col min="6663" max="6663" width="17.140625" customWidth="1"/>
    <col min="6664" max="6664" width="15" customWidth="1"/>
    <col min="6665" max="6665" width="18.28515625" customWidth="1"/>
    <col min="6666" max="6666" width="17.7109375" customWidth="1"/>
    <col min="6913" max="6913" width="17.140625" customWidth="1"/>
    <col min="6914" max="6914" width="15.28515625" customWidth="1"/>
    <col min="6915" max="6915" width="13.85546875" customWidth="1"/>
    <col min="6916" max="6916" width="19.28515625" customWidth="1"/>
    <col min="6917" max="6917" width="12.85546875" customWidth="1"/>
    <col min="6918" max="6918" width="18.85546875" customWidth="1"/>
    <col min="6919" max="6919" width="17.140625" customWidth="1"/>
    <col min="6920" max="6920" width="15" customWidth="1"/>
    <col min="6921" max="6921" width="18.28515625" customWidth="1"/>
    <col min="6922" max="6922" width="17.7109375" customWidth="1"/>
    <col min="7169" max="7169" width="17.140625" customWidth="1"/>
    <col min="7170" max="7170" width="15.28515625" customWidth="1"/>
    <col min="7171" max="7171" width="13.85546875" customWidth="1"/>
    <col min="7172" max="7172" width="19.28515625" customWidth="1"/>
    <col min="7173" max="7173" width="12.85546875" customWidth="1"/>
    <col min="7174" max="7174" width="18.85546875" customWidth="1"/>
    <col min="7175" max="7175" width="17.140625" customWidth="1"/>
    <col min="7176" max="7176" width="15" customWidth="1"/>
    <col min="7177" max="7177" width="18.28515625" customWidth="1"/>
    <col min="7178" max="7178" width="17.7109375" customWidth="1"/>
    <col min="7425" max="7425" width="17.140625" customWidth="1"/>
    <col min="7426" max="7426" width="15.28515625" customWidth="1"/>
    <col min="7427" max="7427" width="13.85546875" customWidth="1"/>
    <col min="7428" max="7428" width="19.28515625" customWidth="1"/>
    <col min="7429" max="7429" width="12.85546875" customWidth="1"/>
    <col min="7430" max="7430" width="18.85546875" customWidth="1"/>
    <col min="7431" max="7431" width="17.140625" customWidth="1"/>
    <col min="7432" max="7432" width="15" customWidth="1"/>
    <col min="7433" max="7433" width="18.28515625" customWidth="1"/>
    <col min="7434" max="7434" width="17.7109375" customWidth="1"/>
    <col min="7681" max="7681" width="17.140625" customWidth="1"/>
    <col min="7682" max="7682" width="15.28515625" customWidth="1"/>
    <col min="7683" max="7683" width="13.85546875" customWidth="1"/>
    <col min="7684" max="7684" width="19.28515625" customWidth="1"/>
    <col min="7685" max="7685" width="12.85546875" customWidth="1"/>
    <col min="7686" max="7686" width="18.85546875" customWidth="1"/>
    <col min="7687" max="7687" width="17.140625" customWidth="1"/>
    <col min="7688" max="7688" width="15" customWidth="1"/>
    <col min="7689" max="7689" width="18.28515625" customWidth="1"/>
    <col min="7690" max="7690" width="17.7109375" customWidth="1"/>
    <col min="7937" max="7937" width="17.140625" customWidth="1"/>
    <col min="7938" max="7938" width="15.28515625" customWidth="1"/>
    <col min="7939" max="7939" width="13.85546875" customWidth="1"/>
    <col min="7940" max="7940" width="19.28515625" customWidth="1"/>
    <col min="7941" max="7941" width="12.85546875" customWidth="1"/>
    <col min="7942" max="7942" width="18.85546875" customWidth="1"/>
    <col min="7943" max="7943" width="17.140625" customWidth="1"/>
    <col min="7944" max="7944" width="15" customWidth="1"/>
    <col min="7945" max="7945" width="18.28515625" customWidth="1"/>
    <col min="7946" max="7946" width="17.7109375" customWidth="1"/>
    <col min="8193" max="8193" width="17.140625" customWidth="1"/>
    <col min="8194" max="8194" width="15.28515625" customWidth="1"/>
    <col min="8195" max="8195" width="13.85546875" customWidth="1"/>
    <col min="8196" max="8196" width="19.28515625" customWidth="1"/>
    <col min="8197" max="8197" width="12.85546875" customWidth="1"/>
    <col min="8198" max="8198" width="18.85546875" customWidth="1"/>
    <col min="8199" max="8199" width="17.140625" customWidth="1"/>
    <col min="8200" max="8200" width="15" customWidth="1"/>
    <col min="8201" max="8201" width="18.28515625" customWidth="1"/>
    <col min="8202" max="8202" width="17.7109375" customWidth="1"/>
    <col min="8449" max="8449" width="17.140625" customWidth="1"/>
    <col min="8450" max="8450" width="15.28515625" customWidth="1"/>
    <col min="8451" max="8451" width="13.85546875" customWidth="1"/>
    <col min="8452" max="8452" width="19.28515625" customWidth="1"/>
    <col min="8453" max="8453" width="12.85546875" customWidth="1"/>
    <col min="8454" max="8454" width="18.85546875" customWidth="1"/>
    <col min="8455" max="8455" width="17.140625" customWidth="1"/>
    <col min="8456" max="8456" width="15" customWidth="1"/>
    <col min="8457" max="8457" width="18.28515625" customWidth="1"/>
    <col min="8458" max="8458" width="17.7109375" customWidth="1"/>
    <col min="8705" max="8705" width="17.140625" customWidth="1"/>
    <col min="8706" max="8706" width="15.28515625" customWidth="1"/>
    <col min="8707" max="8707" width="13.85546875" customWidth="1"/>
    <col min="8708" max="8708" width="19.28515625" customWidth="1"/>
    <col min="8709" max="8709" width="12.85546875" customWidth="1"/>
    <col min="8710" max="8710" width="18.85546875" customWidth="1"/>
    <col min="8711" max="8711" width="17.140625" customWidth="1"/>
    <col min="8712" max="8712" width="15" customWidth="1"/>
    <col min="8713" max="8713" width="18.28515625" customWidth="1"/>
    <col min="8714" max="8714" width="17.7109375" customWidth="1"/>
    <col min="8961" max="8961" width="17.140625" customWidth="1"/>
    <col min="8962" max="8962" width="15.28515625" customWidth="1"/>
    <col min="8963" max="8963" width="13.85546875" customWidth="1"/>
    <col min="8964" max="8964" width="19.28515625" customWidth="1"/>
    <col min="8965" max="8965" width="12.85546875" customWidth="1"/>
    <col min="8966" max="8966" width="18.85546875" customWidth="1"/>
    <col min="8967" max="8967" width="17.140625" customWidth="1"/>
    <col min="8968" max="8968" width="15" customWidth="1"/>
    <col min="8969" max="8969" width="18.28515625" customWidth="1"/>
    <col min="8970" max="8970" width="17.7109375" customWidth="1"/>
    <col min="9217" max="9217" width="17.140625" customWidth="1"/>
    <col min="9218" max="9218" width="15.28515625" customWidth="1"/>
    <col min="9219" max="9219" width="13.85546875" customWidth="1"/>
    <col min="9220" max="9220" width="19.28515625" customWidth="1"/>
    <col min="9221" max="9221" width="12.85546875" customWidth="1"/>
    <col min="9222" max="9222" width="18.85546875" customWidth="1"/>
    <col min="9223" max="9223" width="17.140625" customWidth="1"/>
    <col min="9224" max="9224" width="15" customWidth="1"/>
    <col min="9225" max="9225" width="18.28515625" customWidth="1"/>
    <col min="9226" max="9226" width="17.7109375" customWidth="1"/>
    <col min="9473" max="9473" width="17.140625" customWidth="1"/>
    <col min="9474" max="9474" width="15.28515625" customWidth="1"/>
    <col min="9475" max="9475" width="13.85546875" customWidth="1"/>
    <col min="9476" max="9476" width="19.28515625" customWidth="1"/>
    <col min="9477" max="9477" width="12.85546875" customWidth="1"/>
    <col min="9478" max="9478" width="18.85546875" customWidth="1"/>
    <col min="9479" max="9479" width="17.140625" customWidth="1"/>
    <col min="9480" max="9480" width="15" customWidth="1"/>
    <col min="9481" max="9481" width="18.28515625" customWidth="1"/>
    <col min="9482" max="9482" width="17.7109375" customWidth="1"/>
    <col min="9729" max="9729" width="17.140625" customWidth="1"/>
    <col min="9730" max="9730" width="15.28515625" customWidth="1"/>
    <col min="9731" max="9731" width="13.85546875" customWidth="1"/>
    <col min="9732" max="9732" width="19.28515625" customWidth="1"/>
    <col min="9733" max="9733" width="12.85546875" customWidth="1"/>
    <col min="9734" max="9734" width="18.85546875" customWidth="1"/>
    <col min="9735" max="9735" width="17.140625" customWidth="1"/>
    <col min="9736" max="9736" width="15" customWidth="1"/>
    <col min="9737" max="9737" width="18.28515625" customWidth="1"/>
    <col min="9738" max="9738" width="17.7109375" customWidth="1"/>
    <col min="9985" max="9985" width="17.140625" customWidth="1"/>
    <col min="9986" max="9986" width="15.28515625" customWidth="1"/>
    <col min="9987" max="9987" width="13.85546875" customWidth="1"/>
    <col min="9988" max="9988" width="19.28515625" customWidth="1"/>
    <col min="9989" max="9989" width="12.85546875" customWidth="1"/>
    <col min="9990" max="9990" width="18.85546875" customWidth="1"/>
    <col min="9991" max="9991" width="17.140625" customWidth="1"/>
    <col min="9992" max="9992" width="15" customWidth="1"/>
    <col min="9993" max="9993" width="18.28515625" customWidth="1"/>
    <col min="9994" max="9994" width="17.7109375" customWidth="1"/>
    <col min="10241" max="10241" width="17.140625" customWidth="1"/>
    <col min="10242" max="10242" width="15.28515625" customWidth="1"/>
    <col min="10243" max="10243" width="13.85546875" customWidth="1"/>
    <col min="10244" max="10244" width="19.28515625" customWidth="1"/>
    <col min="10245" max="10245" width="12.85546875" customWidth="1"/>
    <col min="10246" max="10246" width="18.85546875" customWidth="1"/>
    <col min="10247" max="10247" width="17.140625" customWidth="1"/>
    <col min="10248" max="10248" width="15" customWidth="1"/>
    <col min="10249" max="10249" width="18.28515625" customWidth="1"/>
    <col min="10250" max="10250" width="17.7109375" customWidth="1"/>
    <col min="10497" max="10497" width="17.140625" customWidth="1"/>
    <col min="10498" max="10498" width="15.28515625" customWidth="1"/>
    <col min="10499" max="10499" width="13.85546875" customWidth="1"/>
    <col min="10500" max="10500" width="19.28515625" customWidth="1"/>
    <col min="10501" max="10501" width="12.85546875" customWidth="1"/>
    <col min="10502" max="10502" width="18.85546875" customWidth="1"/>
    <col min="10503" max="10503" width="17.140625" customWidth="1"/>
    <col min="10504" max="10504" width="15" customWidth="1"/>
    <col min="10505" max="10505" width="18.28515625" customWidth="1"/>
    <col min="10506" max="10506" width="17.7109375" customWidth="1"/>
    <col min="10753" max="10753" width="17.140625" customWidth="1"/>
    <col min="10754" max="10754" width="15.28515625" customWidth="1"/>
    <col min="10755" max="10755" width="13.85546875" customWidth="1"/>
    <col min="10756" max="10756" width="19.28515625" customWidth="1"/>
    <col min="10757" max="10757" width="12.85546875" customWidth="1"/>
    <col min="10758" max="10758" width="18.85546875" customWidth="1"/>
    <col min="10759" max="10759" width="17.140625" customWidth="1"/>
    <col min="10760" max="10760" width="15" customWidth="1"/>
    <col min="10761" max="10761" width="18.28515625" customWidth="1"/>
    <col min="10762" max="10762" width="17.7109375" customWidth="1"/>
    <col min="11009" max="11009" width="17.140625" customWidth="1"/>
    <col min="11010" max="11010" width="15.28515625" customWidth="1"/>
    <col min="11011" max="11011" width="13.85546875" customWidth="1"/>
    <col min="11012" max="11012" width="19.28515625" customWidth="1"/>
    <col min="11013" max="11013" width="12.85546875" customWidth="1"/>
    <col min="11014" max="11014" width="18.85546875" customWidth="1"/>
    <col min="11015" max="11015" width="17.140625" customWidth="1"/>
    <col min="11016" max="11016" width="15" customWidth="1"/>
    <col min="11017" max="11017" width="18.28515625" customWidth="1"/>
    <col min="11018" max="11018" width="17.7109375" customWidth="1"/>
    <col min="11265" max="11265" width="17.140625" customWidth="1"/>
    <col min="11266" max="11266" width="15.28515625" customWidth="1"/>
    <col min="11267" max="11267" width="13.85546875" customWidth="1"/>
    <col min="11268" max="11268" width="19.28515625" customWidth="1"/>
    <col min="11269" max="11269" width="12.85546875" customWidth="1"/>
    <col min="11270" max="11270" width="18.85546875" customWidth="1"/>
    <col min="11271" max="11271" width="17.140625" customWidth="1"/>
    <col min="11272" max="11272" width="15" customWidth="1"/>
    <col min="11273" max="11273" width="18.28515625" customWidth="1"/>
    <col min="11274" max="11274" width="17.7109375" customWidth="1"/>
    <col min="11521" max="11521" width="17.140625" customWidth="1"/>
    <col min="11522" max="11522" width="15.28515625" customWidth="1"/>
    <col min="11523" max="11523" width="13.85546875" customWidth="1"/>
    <col min="11524" max="11524" width="19.28515625" customWidth="1"/>
    <col min="11525" max="11525" width="12.85546875" customWidth="1"/>
    <col min="11526" max="11526" width="18.85546875" customWidth="1"/>
    <col min="11527" max="11527" width="17.140625" customWidth="1"/>
    <col min="11528" max="11528" width="15" customWidth="1"/>
    <col min="11529" max="11529" width="18.28515625" customWidth="1"/>
    <col min="11530" max="11530" width="17.7109375" customWidth="1"/>
    <col min="11777" max="11777" width="17.140625" customWidth="1"/>
    <col min="11778" max="11778" width="15.28515625" customWidth="1"/>
    <col min="11779" max="11779" width="13.85546875" customWidth="1"/>
    <col min="11780" max="11780" width="19.28515625" customWidth="1"/>
    <col min="11781" max="11781" width="12.85546875" customWidth="1"/>
    <col min="11782" max="11782" width="18.85546875" customWidth="1"/>
    <col min="11783" max="11783" width="17.140625" customWidth="1"/>
    <col min="11784" max="11784" width="15" customWidth="1"/>
    <col min="11785" max="11785" width="18.28515625" customWidth="1"/>
    <col min="11786" max="11786" width="17.7109375" customWidth="1"/>
    <col min="12033" max="12033" width="17.140625" customWidth="1"/>
    <col min="12034" max="12034" width="15.28515625" customWidth="1"/>
    <col min="12035" max="12035" width="13.85546875" customWidth="1"/>
    <col min="12036" max="12036" width="19.28515625" customWidth="1"/>
    <col min="12037" max="12037" width="12.85546875" customWidth="1"/>
    <col min="12038" max="12038" width="18.85546875" customWidth="1"/>
    <col min="12039" max="12039" width="17.140625" customWidth="1"/>
    <col min="12040" max="12040" width="15" customWidth="1"/>
    <col min="12041" max="12041" width="18.28515625" customWidth="1"/>
    <col min="12042" max="12042" width="17.7109375" customWidth="1"/>
    <col min="12289" max="12289" width="17.140625" customWidth="1"/>
    <col min="12290" max="12290" width="15.28515625" customWidth="1"/>
    <col min="12291" max="12291" width="13.85546875" customWidth="1"/>
    <col min="12292" max="12292" width="19.28515625" customWidth="1"/>
    <col min="12293" max="12293" width="12.85546875" customWidth="1"/>
    <col min="12294" max="12294" width="18.85546875" customWidth="1"/>
    <col min="12295" max="12295" width="17.140625" customWidth="1"/>
    <col min="12296" max="12296" width="15" customWidth="1"/>
    <col min="12297" max="12297" width="18.28515625" customWidth="1"/>
    <col min="12298" max="12298" width="17.7109375" customWidth="1"/>
    <col min="12545" max="12545" width="17.140625" customWidth="1"/>
    <col min="12546" max="12546" width="15.28515625" customWidth="1"/>
    <col min="12547" max="12547" width="13.85546875" customWidth="1"/>
    <col min="12548" max="12548" width="19.28515625" customWidth="1"/>
    <col min="12549" max="12549" width="12.85546875" customWidth="1"/>
    <col min="12550" max="12550" width="18.85546875" customWidth="1"/>
    <col min="12551" max="12551" width="17.140625" customWidth="1"/>
    <col min="12552" max="12552" width="15" customWidth="1"/>
    <col min="12553" max="12553" width="18.28515625" customWidth="1"/>
    <col min="12554" max="12554" width="17.7109375" customWidth="1"/>
    <col min="12801" max="12801" width="17.140625" customWidth="1"/>
    <col min="12802" max="12802" width="15.28515625" customWidth="1"/>
    <col min="12803" max="12803" width="13.85546875" customWidth="1"/>
    <col min="12804" max="12804" width="19.28515625" customWidth="1"/>
    <col min="12805" max="12805" width="12.85546875" customWidth="1"/>
    <col min="12806" max="12806" width="18.85546875" customWidth="1"/>
    <col min="12807" max="12807" width="17.140625" customWidth="1"/>
    <col min="12808" max="12808" width="15" customWidth="1"/>
    <col min="12809" max="12809" width="18.28515625" customWidth="1"/>
    <col min="12810" max="12810" width="17.7109375" customWidth="1"/>
    <col min="13057" max="13057" width="17.140625" customWidth="1"/>
    <col min="13058" max="13058" width="15.28515625" customWidth="1"/>
    <col min="13059" max="13059" width="13.85546875" customWidth="1"/>
    <col min="13060" max="13060" width="19.28515625" customWidth="1"/>
    <col min="13061" max="13061" width="12.85546875" customWidth="1"/>
    <col min="13062" max="13062" width="18.85546875" customWidth="1"/>
    <col min="13063" max="13063" width="17.140625" customWidth="1"/>
    <col min="13064" max="13064" width="15" customWidth="1"/>
    <col min="13065" max="13065" width="18.28515625" customWidth="1"/>
    <col min="13066" max="13066" width="17.7109375" customWidth="1"/>
    <col min="13313" max="13313" width="17.140625" customWidth="1"/>
    <col min="13314" max="13314" width="15.28515625" customWidth="1"/>
    <col min="13315" max="13315" width="13.85546875" customWidth="1"/>
    <col min="13316" max="13316" width="19.28515625" customWidth="1"/>
    <col min="13317" max="13317" width="12.85546875" customWidth="1"/>
    <col min="13318" max="13318" width="18.85546875" customWidth="1"/>
    <col min="13319" max="13319" width="17.140625" customWidth="1"/>
    <col min="13320" max="13320" width="15" customWidth="1"/>
    <col min="13321" max="13321" width="18.28515625" customWidth="1"/>
    <col min="13322" max="13322" width="17.7109375" customWidth="1"/>
    <col min="13569" max="13569" width="17.140625" customWidth="1"/>
    <col min="13570" max="13570" width="15.28515625" customWidth="1"/>
    <col min="13571" max="13571" width="13.85546875" customWidth="1"/>
    <col min="13572" max="13572" width="19.28515625" customWidth="1"/>
    <col min="13573" max="13573" width="12.85546875" customWidth="1"/>
    <col min="13574" max="13574" width="18.85546875" customWidth="1"/>
    <col min="13575" max="13575" width="17.140625" customWidth="1"/>
    <col min="13576" max="13576" width="15" customWidth="1"/>
    <col min="13577" max="13577" width="18.28515625" customWidth="1"/>
    <col min="13578" max="13578" width="17.7109375" customWidth="1"/>
    <col min="13825" max="13825" width="17.140625" customWidth="1"/>
    <col min="13826" max="13826" width="15.28515625" customWidth="1"/>
    <col min="13827" max="13827" width="13.85546875" customWidth="1"/>
    <col min="13828" max="13828" width="19.28515625" customWidth="1"/>
    <col min="13829" max="13829" width="12.85546875" customWidth="1"/>
    <col min="13830" max="13830" width="18.85546875" customWidth="1"/>
    <col min="13831" max="13831" width="17.140625" customWidth="1"/>
    <col min="13832" max="13832" width="15" customWidth="1"/>
    <col min="13833" max="13833" width="18.28515625" customWidth="1"/>
    <col min="13834" max="13834" width="17.7109375" customWidth="1"/>
    <col min="14081" max="14081" width="17.140625" customWidth="1"/>
    <col min="14082" max="14082" width="15.28515625" customWidth="1"/>
    <col min="14083" max="14083" width="13.85546875" customWidth="1"/>
    <col min="14084" max="14084" width="19.28515625" customWidth="1"/>
    <col min="14085" max="14085" width="12.85546875" customWidth="1"/>
    <col min="14086" max="14086" width="18.85546875" customWidth="1"/>
    <col min="14087" max="14087" width="17.140625" customWidth="1"/>
    <col min="14088" max="14088" width="15" customWidth="1"/>
    <col min="14089" max="14089" width="18.28515625" customWidth="1"/>
    <col min="14090" max="14090" width="17.7109375" customWidth="1"/>
    <col min="14337" max="14337" width="17.140625" customWidth="1"/>
    <col min="14338" max="14338" width="15.28515625" customWidth="1"/>
    <col min="14339" max="14339" width="13.85546875" customWidth="1"/>
    <col min="14340" max="14340" width="19.28515625" customWidth="1"/>
    <col min="14341" max="14341" width="12.85546875" customWidth="1"/>
    <col min="14342" max="14342" width="18.85546875" customWidth="1"/>
    <col min="14343" max="14343" width="17.140625" customWidth="1"/>
    <col min="14344" max="14344" width="15" customWidth="1"/>
    <col min="14345" max="14345" width="18.28515625" customWidth="1"/>
    <col min="14346" max="14346" width="17.7109375" customWidth="1"/>
    <col min="14593" max="14593" width="17.140625" customWidth="1"/>
    <col min="14594" max="14594" width="15.28515625" customWidth="1"/>
    <col min="14595" max="14595" width="13.85546875" customWidth="1"/>
    <col min="14596" max="14596" width="19.28515625" customWidth="1"/>
    <col min="14597" max="14597" width="12.85546875" customWidth="1"/>
    <col min="14598" max="14598" width="18.85546875" customWidth="1"/>
    <col min="14599" max="14599" width="17.140625" customWidth="1"/>
    <col min="14600" max="14600" width="15" customWidth="1"/>
    <col min="14601" max="14601" width="18.28515625" customWidth="1"/>
    <col min="14602" max="14602" width="17.7109375" customWidth="1"/>
    <col min="14849" max="14849" width="17.140625" customWidth="1"/>
    <col min="14850" max="14850" width="15.28515625" customWidth="1"/>
    <col min="14851" max="14851" width="13.85546875" customWidth="1"/>
    <col min="14852" max="14852" width="19.28515625" customWidth="1"/>
    <col min="14853" max="14853" width="12.85546875" customWidth="1"/>
    <col min="14854" max="14854" width="18.85546875" customWidth="1"/>
    <col min="14855" max="14855" width="17.140625" customWidth="1"/>
    <col min="14856" max="14856" width="15" customWidth="1"/>
    <col min="14857" max="14857" width="18.28515625" customWidth="1"/>
    <col min="14858" max="14858" width="17.7109375" customWidth="1"/>
    <col min="15105" max="15105" width="17.140625" customWidth="1"/>
    <col min="15106" max="15106" width="15.28515625" customWidth="1"/>
    <col min="15107" max="15107" width="13.85546875" customWidth="1"/>
    <col min="15108" max="15108" width="19.28515625" customWidth="1"/>
    <col min="15109" max="15109" width="12.85546875" customWidth="1"/>
    <col min="15110" max="15110" width="18.85546875" customWidth="1"/>
    <col min="15111" max="15111" width="17.140625" customWidth="1"/>
    <col min="15112" max="15112" width="15" customWidth="1"/>
    <col min="15113" max="15113" width="18.28515625" customWidth="1"/>
    <col min="15114" max="15114" width="17.7109375" customWidth="1"/>
    <col min="15361" max="15361" width="17.140625" customWidth="1"/>
    <col min="15362" max="15362" width="15.28515625" customWidth="1"/>
    <col min="15363" max="15363" width="13.85546875" customWidth="1"/>
    <col min="15364" max="15364" width="19.28515625" customWidth="1"/>
    <col min="15365" max="15365" width="12.85546875" customWidth="1"/>
    <col min="15366" max="15366" width="18.85546875" customWidth="1"/>
    <col min="15367" max="15367" width="17.140625" customWidth="1"/>
    <col min="15368" max="15368" width="15" customWidth="1"/>
    <col min="15369" max="15369" width="18.28515625" customWidth="1"/>
    <col min="15370" max="15370" width="17.7109375" customWidth="1"/>
    <col min="15617" max="15617" width="17.140625" customWidth="1"/>
    <col min="15618" max="15618" width="15.28515625" customWidth="1"/>
    <col min="15619" max="15619" width="13.85546875" customWidth="1"/>
    <col min="15620" max="15620" width="19.28515625" customWidth="1"/>
    <col min="15621" max="15621" width="12.85546875" customWidth="1"/>
    <col min="15622" max="15622" width="18.85546875" customWidth="1"/>
    <col min="15623" max="15623" width="17.140625" customWidth="1"/>
    <col min="15624" max="15624" width="15" customWidth="1"/>
    <col min="15625" max="15625" width="18.28515625" customWidth="1"/>
    <col min="15626" max="15626" width="17.7109375" customWidth="1"/>
    <col min="15873" max="15873" width="17.140625" customWidth="1"/>
    <col min="15874" max="15874" width="15.28515625" customWidth="1"/>
    <col min="15875" max="15875" width="13.85546875" customWidth="1"/>
    <col min="15876" max="15876" width="19.28515625" customWidth="1"/>
    <col min="15877" max="15877" width="12.85546875" customWidth="1"/>
    <col min="15878" max="15878" width="18.85546875" customWidth="1"/>
    <col min="15879" max="15879" width="17.140625" customWidth="1"/>
    <col min="15880" max="15880" width="15" customWidth="1"/>
    <col min="15881" max="15881" width="18.28515625" customWidth="1"/>
    <col min="15882" max="15882" width="17.7109375" customWidth="1"/>
    <col min="16129" max="16129" width="17.140625" customWidth="1"/>
    <col min="16130" max="16130" width="15.28515625" customWidth="1"/>
    <col min="16131" max="16131" width="13.85546875" customWidth="1"/>
    <col min="16132" max="16132" width="19.28515625" customWidth="1"/>
    <col min="16133" max="16133" width="12.85546875" customWidth="1"/>
    <col min="16134" max="16134" width="18.85546875" customWidth="1"/>
    <col min="16135" max="16135" width="17.140625" customWidth="1"/>
    <col min="16136" max="16136" width="15" customWidth="1"/>
    <col min="16137" max="16137" width="18.28515625" customWidth="1"/>
    <col min="16138" max="16138" width="17.7109375" customWidth="1"/>
  </cols>
  <sheetData>
    <row r="1" spans="1:10" ht="15.75">
      <c r="B1" s="1"/>
    </row>
    <row r="2" spans="1:10" ht="15.75">
      <c r="D2" s="2" t="s">
        <v>0</v>
      </c>
    </row>
    <row r="3" spans="1:10">
      <c r="A3" s="3" t="s">
        <v>1</v>
      </c>
    </row>
    <row r="6" spans="1:10">
      <c r="A6" s="4" t="s">
        <v>2</v>
      </c>
      <c r="B6" s="5">
        <v>0.4</v>
      </c>
      <c r="G6" t="s">
        <v>3</v>
      </c>
      <c r="H6" t="s">
        <v>4</v>
      </c>
      <c r="I6" t="s">
        <v>3</v>
      </c>
      <c r="J6" t="s">
        <v>3</v>
      </c>
    </row>
    <row r="7" spans="1:10">
      <c r="A7" s="6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8" t="s">
        <v>14</v>
      </c>
    </row>
    <row r="8" spans="1:10">
      <c r="A8" s="9" t="s">
        <v>15</v>
      </c>
      <c r="B8" s="10">
        <v>1.5</v>
      </c>
      <c r="C8" s="11">
        <v>100</v>
      </c>
      <c r="D8" s="12">
        <v>2.1</v>
      </c>
      <c r="E8" s="11">
        <v>180</v>
      </c>
      <c r="F8" s="11">
        <v>200</v>
      </c>
      <c r="G8" s="13">
        <f>E8-F8</f>
        <v>-20</v>
      </c>
      <c r="H8" s="14" t="str">
        <f>IF(G8&gt;0,"Agradável","Desagradável")</f>
        <v>Desagradável</v>
      </c>
      <c r="I8" s="15">
        <f>B8*C8</f>
        <v>150</v>
      </c>
      <c r="J8" s="16">
        <f>D8*E8</f>
        <v>378</v>
      </c>
    </row>
    <row r="9" spans="1:10">
      <c r="A9" s="9" t="s">
        <v>16</v>
      </c>
      <c r="B9" s="10">
        <v>2.2999999999999998</v>
      </c>
      <c r="C9" s="11">
        <v>200</v>
      </c>
      <c r="D9" s="12">
        <v>3.22</v>
      </c>
      <c r="E9" s="11">
        <v>264</v>
      </c>
      <c r="F9" s="11">
        <v>200</v>
      </c>
      <c r="G9" s="13">
        <f t="shared" ref="G9:G22" si="0">E9-F9</f>
        <v>64</v>
      </c>
      <c r="H9" s="14" t="str">
        <f t="shared" ref="H9:H22" si="1">IF(G9&gt;0,"Agradável","Desagradável")</f>
        <v>Agradável</v>
      </c>
      <c r="I9" s="15">
        <f t="shared" ref="I9:I22" si="2">B9*C9</f>
        <v>459.99999999999994</v>
      </c>
      <c r="J9" s="16">
        <f t="shared" ref="J9:J22" si="3">D9*E9</f>
        <v>850.08</v>
      </c>
    </row>
    <row r="10" spans="1:10">
      <c r="A10" s="9" t="s">
        <v>17</v>
      </c>
      <c r="B10" s="10">
        <v>2</v>
      </c>
      <c r="C10" s="11">
        <v>300</v>
      </c>
      <c r="D10" s="12">
        <v>2.8</v>
      </c>
      <c r="E10" s="11">
        <v>378</v>
      </c>
      <c r="F10" s="11">
        <v>400</v>
      </c>
      <c r="G10" s="13">
        <f t="shared" si="0"/>
        <v>-22</v>
      </c>
      <c r="H10" s="14" t="str">
        <f t="shared" si="1"/>
        <v>Desagradável</v>
      </c>
      <c r="I10" s="15">
        <f t="shared" si="2"/>
        <v>600</v>
      </c>
      <c r="J10" s="16">
        <f t="shared" si="3"/>
        <v>1058.3999999999999</v>
      </c>
    </row>
    <row r="11" spans="1:10">
      <c r="A11" s="9" t="s">
        <v>18</v>
      </c>
      <c r="B11" s="10">
        <v>3</v>
      </c>
      <c r="C11" s="11">
        <v>500</v>
      </c>
      <c r="D11" s="12">
        <v>4.2</v>
      </c>
      <c r="E11" s="11">
        <v>695</v>
      </c>
      <c r="F11" s="11">
        <v>500</v>
      </c>
      <c r="G11" s="13">
        <f t="shared" si="0"/>
        <v>195</v>
      </c>
      <c r="H11" s="14" t="str">
        <f t="shared" si="1"/>
        <v>Agradável</v>
      </c>
      <c r="I11" s="15">
        <f t="shared" si="2"/>
        <v>1500</v>
      </c>
      <c r="J11" s="16">
        <f t="shared" si="3"/>
        <v>2919</v>
      </c>
    </row>
    <row r="12" spans="1:10">
      <c r="A12" s="9" t="s">
        <v>19</v>
      </c>
      <c r="B12" s="10">
        <v>1</v>
      </c>
      <c r="C12" s="11">
        <v>1000</v>
      </c>
      <c r="D12" s="12">
        <v>1.4</v>
      </c>
      <c r="E12" s="11">
        <v>1254</v>
      </c>
      <c r="F12" s="11">
        <v>1500</v>
      </c>
      <c r="G12" s="13">
        <f t="shared" si="0"/>
        <v>-246</v>
      </c>
      <c r="H12" s="14" t="str">
        <f t="shared" si="1"/>
        <v>Desagradável</v>
      </c>
      <c r="I12" s="15">
        <f t="shared" si="2"/>
        <v>1000</v>
      </c>
      <c r="J12" s="16">
        <f t="shared" si="3"/>
        <v>1755.6</v>
      </c>
    </row>
    <row r="13" spans="1:10">
      <c r="A13" s="9" t="s">
        <v>20</v>
      </c>
      <c r="B13" s="10">
        <v>0.5</v>
      </c>
      <c r="C13" s="11">
        <v>1000</v>
      </c>
      <c r="D13" s="12">
        <v>0.7</v>
      </c>
      <c r="E13" s="11">
        <v>2547</v>
      </c>
      <c r="F13" s="11">
        <v>2700</v>
      </c>
      <c r="G13" s="13">
        <f t="shared" si="0"/>
        <v>-153</v>
      </c>
      <c r="H13" s="14" t="str">
        <f t="shared" si="1"/>
        <v>Desagradável</v>
      </c>
      <c r="I13" s="15">
        <f t="shared" si="2"/>
        <v>500</v>
      </c>
      <c r="J13" s="16">
        <f t="shared" si="3"/>
        <v>1782.8999999999999</v>
      </c>
    </row>
    <row r="14" spans="1:10">
      <c r="A14" s="9" t="s">
        <v>21</v>
      </c>
      <c r="B14" s="10">
        <v>0.1</v>
      </c>
      <c r="C14" s="11">
        <v>2000</v>
      </c>
      <c r="D14" s="12">
        <v>0.14000000000000001</v>
      </c>
      <c r="E14" s="11">
        <v>3256</v>
      </c>
      <c r="F14" s="11">
        <v>3000</v>
      </c>
      <c r="G14" s="13">
        <f t="shared" si="0"/>
        <v>256</v>
      </c>
      <c r="H14" s="14" t="str">
        <f t="shared" si="1"/>
        <v>Agradável</v>
      </c>
      <c r="I14" s="15">
        <f t="shared" si="2"/>
        <v>200</v>
      </c>
      <c r="J14" s="16">
        <f t="shared" si="3"/>
        <v>455.84000000000003</v>
      </c>
    </row>
    <row r="15" spans="1:10">
      <c r="A15" s="9" t="s">
        <v>22</v>
      </c>
      <c r="B15" s="10">
        <v>0.1</v>
      </c>
      <c r="C15" s="11">
        <v>10000</v>
      </c>
      <c r="D15" s="12">
        <v>0.14000000000000001</v>
      </c>
      <c r="E15" s="11">
        <v>33214</v>
      </c>
      <c r="F15" s="11">
        <v>33000</v>
      </c>
      <c r="G15" s="13">
        <f t="shared" si="0"/>
        <v>214</v>
      </c>
      <c r="H15" s="14" t="str">
        <f t="shared" si="1"/>
        <v>Agradável</v>
      </c>
      <c r="I15" s="15">
        <f t="shared" si="2"/>
        <v>1000</v>
      </c>
      <c r="J15" s="16">
        <f t="shared" si="3"/>
        <v>4649.96</v>
      </c>
    </row>
    <row r="16" spans="1:10">
      <c r="A16" s="9" t="s">
        <v>23</v>
      </c>
      <c r="B16" s="10">
        <v>0.2</v>
      </c>
      <c r="C16" s="11">
        <v>200</v>
      </c>
      <c r="D16" s="12">
        <v>0.28000000000000003</v>
      </c>
      <c r="E16" s="11">
        <v>450</v>
      </c>
      <c r="F16" s="11">
        <v>500</v>
      </c>
      <c r="G16" s="13">
        <f t="shared" si="0"/>
        <v>-50</v>
      </c>
      <c r="H16" s="14" t="str">
        <f t="shared" si="1"/>
        <v>Desagradável</v>
      </c>
      <c r="I16" s="15">
        <f t="shared" si="2"/>
        <v>40</v>
      </c>
      <c r="J16" s="16">
        <f t="shared" si="3"/>
        <v>126.00000000000001</v>
      </c>
    </row>
    <row r="17" spans="1:10">
      <c r="A17" s="9" t="s">
        <v>24</v>
      </c>
      <c r="B17" s="10">
        <v>0.1</v>
      </c>
      <c r="C17" s="11">
        <v>5000</v>
      </c>
      <c r="D17" s="12">
        <v>0.14000000000000001</v>
      </c>
      <c r="E17" s="11">
        <v>7894</v>
      </c>
      <c r="F17" s="11">
        <v>8000</v>
      </c>
      <c r="G17" s="13">
        <f t="shared" si="0"/>
        <v>-106</v>
      </c>
      <c r="H17" s="14" t="str">
        <f t="shared" si="1"/>
        <v>Desagradável</v>
      </c>
      <c r="I17" s="15">
        <f t="shared" si="2"/>
        <v>500</v>
      </c>
      <c r="J17" s="16">
        <f t="shared" si="3"/>
        <v>1105.1600000000001</v>
      </c>
    </row>
    <row r="18" spans="1:10">
      <c r="A18" s="9" t="s">
        <v>25</v>
      </c>
      <c r="B18" s="10">
        <v>120</v>
      </c>
      <c r="C18" s="11">
        <v>50</v>
      </c>
      <c r="D18" s="12">
        <v>168</v>
      </c>
      <c r="E18" s="11">
        <v>105</v>
      </c>
      <c r="F18" s="11">
        <v>200</v>
      </c>
      <c r="G18" s="13">
        <f t="shared" si="0"/>
        <v>-95</v>
      </c>
      <c r="H18" s="14" t="str">
        <f t="shared" si="1"/>
        <v>Desagradável</v>
      </c>
      <c r="I18" s="15">
        <f t="shared" si="2"/>
        <v>6000</v>
      </c>
      <c r="J18" s="16">
        <f t="shared" si="3"/>
        <v>17640</v>
      </c>
    </row>
    <row r="19" spans="1:10">
      <c r="A19" s="9" t="s">
        <v>26</v>
      </c>
      <c r="B19" s="10">
        <v>80</v>
      </c>
      <c r="C19" s="11">
        <v>200</v>
      </c>
      <c r="D19" s="12">
        <v>112</v>
      </c>
      <c r="E19" s="11">
        <v>260</v>
      </c>
      <c r="F19" s="11">
        <v>200</v>
      </c>
      <c r="G19" s="13">
        <f t="shared" si="0"/>
        <v>60</v>
      </c>
      <c r="H19" s="14" t="str">
        <f t="shared" si="1"/>
        <v>Agradável</v>
      </c>
      <c r="I19" s="15">
        <f t="shared" si="2"/>
        <v>16000</v>
      </c>
      <c r="J19" s="16">
        <f t="shared" si="3"/>
        <v>29120</v>
      </c>
    </row>
    <row r="20" spans="1:10">
      <c r="A20" s="9" t="s">
        <v>27</v>
      </c>
      <c r="B20" s="10">
        <v>60.5</v>
      </c>
      <c r="C20" s="11">
        <v>10</v>
      </c>
      <c r="D20" s="12">
        <v>84.7</v>
      </c>
      <c r="E20" s="11">
        <v>12</v>
      </c>
      <c r="F20" s="11">
        <v>20</v>
      </c>
      <c r="G20" s="13">
        <f t="shared" si="0"/>
        <v>-8</v>
      </c>
      <c r="H20" s="14" t="str">
        <f t="shared" si="1"/>
        <v>Desagradável</v>
      </c>
      <c r="I20" s="15">
        <f t="shared" si="2"/>
        <v>605</v>
      </c>
      <c r="J20" s="16">
        <f t="shared" si="3"/>
        <v>1016.4000000000001</v>
      </c>
    </row>
    <row r="21" spans="1:10">
      <c r="A21" s="9" t="s">
        <v>28</v>
      </c>
      <c r="B21" s="10">
        <v>300</v>
      </c>
      <c r="C21" s="11">
        <v>50</v>
      </c>
      <c r="D21" s="12">
        <v>420</v>
      </c>
      <c r="E21" s="11">
        <v>48</v>
      </c>
      <c r="F21" s="11">
        <v>50</v>
      </c>
      <c r="G21" s="13">
        <f t="shared" si="0"/>
        <v>-2</v>
      </c>
      <c r="H21" s="14" t="str">
        <f t="shared" si="1"/>
        <v>Desagradável</v>
      </c>
      <c r="I21" s="15">
        <f t="shared" si="2"/>
        <v>15000</v>
      </c>
      <c r="J21" s="16">
        <f t="shared" si="3"/>
        <v>20160</v>
      </c>
    </row>
    <row r="22" spans="1:10" ht="15.75" thickBot="1">
      <c r="A22" s="17" t="s">
        <v>29</v>
      </c>
      <c r="B22" s="18">
        <v>575</v>
      </c>
      <c r="C22" s="19">
        <v>50</v>
      </c>
      <c r="D22" s="20">
        <v>805</v>
      </c>
      <c r="E22" s="19">
        <v>68</v>
      </c>
      <c r="F22" s="19">
        <v>60</v>
      </c>
      <c r="G22" s="13">
        <f t="shared" si="0"/>
        <v>8</v>
      </c>
      <c r="H22" s="14" t="str">
        <f t="shared" si="1"/>
        <v>Agradável</v>
      </c>
      <c r="I22" s="15">
        <f t="shared" si="2"/>
        <v>28750</v>
      </c>
      <c r="J22" s="16">
        <f t="shared" si="3"/>
        <v>54740</v>
      </c>
    </row>
    <row r="23" spans="1:10" ht="15.75" thickTop="1">
      <c r="A23" s="21" t="s">
        <v>30</v>
      </c>
      <c r="B23" s="21"/>
      <c r="C23" s="27">
        <f>SUM(I8:I22)</f>
        <v>72305</v>
      </c>
      <c r="D23" s="22"/>
    </row>
    <row r="24" spans="1:10" ht="15.75" thickBot="1">
      <c r="A24" s="23" t="s">
        <v>31</v>
      </c>
      <c r="B24" s="23"/>
      <c r="C24" s="28">
        <f>SUM(J8:J22)</f>
        <v>137757.34</v>
      </c>
      <c r="D24" s="24"/>
    </row>
    <row r="25" spans="1:10" ht="16.5" thickTop="1" thickBot="1"/>
    <row r="26" spans="1:10" ht="15.75" thickTop="1">
      <c r="A26" s="21" t="s">
        <v>32</v>
      </c>
      <c r="B26" s="21"/>
      <c r="C26" s="21">
        <f>SUM(F8:F22)</f>
        <v>50530</v>
      </c>
      <c r="D26" s="25"/>
    </row>
    <row r="27" spans="1:10" ht="15.75" thickBot="1">
      <c r="A27" s="23" t="s">
        <v>33</v>
      </c>
      <c r="B27" s="23"/>
      <c r="C27" s="23">
        <f>SUM(E8:E22)</f>
        <v>50625</v>
      </c>
      <c r="D27" s="26"/>
    </row>
    <row r="28" spans="1:10" ht="16.5" thickTop="1">
      <c r="B28" s="1"/>
    </row>
    <row r="29" spans="1:10" ht="15.75">
      <c r="D29" s="2"/>
    </row>
    <row r="30" spans="1:10">
      <c r="A30" s="3"/>
    </row>
    <row r="33" spans="1:2">
      <c r="A33" s="4"/>
      <c r="B33" s="5"/>
    </row>
  </sheetData>
  <conditionalFormatting sqref="H8:H22">
    <cfRule type="beginsWith" dxfId="1" priority="2" operator="beginsWith" text="des">
      <formula>LEFT(H8,3)="des"</formula>
    </cfRule>
    <cfRule type="beginsWith" dxfId="0" priority="1" operator="beginsWith" text="agr">
      <formula>LEFT(H8,3)="agr"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Bruno</cp:lastModifiedBy>
  <dcterms:created xsi:type="dcterms:W3CDTF">2018-08-15T15:31:28Z</dcterms:created>
  <dcterms:modified xsi:type="dcterms:W3CDTF">2018-08-26T12:15:46Z</dcterms:modified>
</cp:coreProperties>
</file>