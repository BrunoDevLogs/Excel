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9600" activeTab="4"/>
  </bookViews>
  <sheets>
    <sheet name="INDICE_CORRESP 1" sheetId="2" r:id="rId1"/>
    <sheet name="INDICE+CORRESP 2" sheetId="1" r:id="rId2"/>
    <sheet name="INDICE + CORRESP 3" sheetId="3" r:id="rId3"/>
    <sheet name="MEDICOS" sheetId="5" r:id="rId4"/>
    <sheet name="CONSULTAS" sheetId="4" r:id="rId5"/>
  </sheets>
  <definedNames>
    <definedName name="DADOS">'INDICE + CORRESP 3'!$A$3:$E$33</definedName>
    <definedName name="DATAS">'INDICE + CORRESP 3'!$A$3:$A$33</definedName>
    <definedName name="MOEDAS">'INDICE + CORRESP 3'!$A$2:$E$2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/>
  <c r="F5"/>
  <c r="F6"/>
  <c r="F7"/>
  <c r="F8"/>
  <c r="F9"/>
  <c r="F10"/>
  <c r="F11"/>
  <c r="F3"/>
  <c r="E4"/>
  <c r="E5"/>
  <c r="E6"/>
  <c r="E7"/>
  <c r="E8"/>
  <c r="E9"/>
  <c r="E10"/>
  <c r="E11"/>
  <c r="E3"/>
  <c r="D4"/>
  <c r="D5"/>
  <c r="D6"/>
  <c r="D7"/>
  <c r="D8"/>
  <c r="D9"/>
  <c r="D10"/>
  <c r="D11"/>
  <c r="D3"/>
  <c r="I3" i="3" l="1"/>
  <c r="F3" i="1"/>
  <c r="F2"/>
  <c r="H8" i="2"/>
</calcChain>
</file>

<file path=xl/sharedStrings.xml><?xml version="1.0" encoding="utf-8"?>
<sst xmlns="http://schemas.openxmlformats.org/spreadsheetml/2006/main" count="179" uniqueCount="140">
  <si>
    <t xml:space="preserve">CAPITAL </t>
  </si>
  <si>
    <t>POPULAÇAO</t>
  </si>
  <si>
    <t>JAPAO</t>
  </si>
  <si>
    <t>CANADA</t>
  </si>
  <si>
    <t>EUA</t>
  </si>
  <si>
    <t>BRASIL</t>
  </si>
  <si>
    <t>CHILE</t>
  </si>
  <si>
    <t>ARGENTINA</t>
  </si>
  <si>
    <t>FRANÇA</t>
  </si>
  <si>
    <t>ITALIA</t>
  </si>
  <si>
    <t>INGLATERRA</t>
  </si>
  <si>
    <t>COREIA SUL</t>
  </si>
  <si>
    <t>VENEZUELA</t>
  </si>
  <si>
    <t>TOQUIO</t>
  </si>
  <si>
    <t>MONTREAL</t>
  </si>
  <si>
    <t>WASHINTON</t>
  </si>
  <si>
    <t>BRASILIA</t>
  </si>
  <si>
    <t>SANTIAGO</t>
  </si>
  <si>
    <t>BUENOS AIRES</t>
  </si>
  <si>
    <t>PARIS</t>
  </si>
  <si>
    <t>LONDRES</t>
  </si>
  <si>
    <t>ROMA</t>
  </si>
  <si>
    <t>LIMA</t>
  </si>
  <si>
    <t>PERU</t>
  </si>
  <si>
    <t>CARACAS</t>
  </si>
  <si>
    <t>SEUL</t>
  </si>
  <si>
    <t>BANKOK</t>
  </si>
  <si>
    <t>TAILANDIA</t>
  </si>
  <si>
    <t>EGITO</t>
  </si>
  <si>
    <t>MEXICO</t>
  </si>
  <si>
    <t>CIDADE DO MEXICO</t>
  </si>
  <si>
    <t>CAIRO</t>
  </si>
  <si>
    <t>RUSSIA</t>
  </si>
  <si>
    <t>MOSCOU</t>
  </si>
  <si>
    <t>COLOMBIA</t>
  </si>
  <si>
    <t>BOGOTA</t>
  </si>
  <si>
    <t>GRECIA</t>
  </si>
  <si>
    <t>ATENAS</t>
  </si>
  <si>
    <t>PORTUGAL</t>
  </si>
  <si>
    <t>LISBOA</t>
  </si>
  <si>
    <t>ESPANHA</t>
  </si>
  <si>
    <t>MADRI</t>
  </si>
  <si>
    <t>EQUADOR</t>
  </si>
  <si>
    <t>QUITO</t>
  </si>
  <si>
    <t>URUGUAI</t>
  </si>
  <si>
    <t>MONTEVIDEU</t>
  </si>
  <si>
    <t>PARAGUAI</t>
  </si>
  <si>
    <t>ASSUNCAO</t>
  </si>
  <si>
    <t>ESCOCIA</t>
  </si>
  <si>
    <t>EDINBURGO</t>
  </si>
  <si>
    <t>PAÍS</t>
  </si>
  <si>
    <t>CAPITAL</t>
  </si>
  <si>
    <t>VENDAS</t>
  </si>
  <si>
    <t>SELECIONE</t>
  </si>
  <si>
    <t>VENDEDOR</t>
  </si>
  <si>
    <t>ANA</t>
  </si>
  <si>
    <t>PAULO</t>
  </si>
  <si>
    <t>ANO</t>
  </si>
  <si>
    <t>PEDRO</t>
  </si>
  <si>
    <t>RAFAEL</t>
  </si>
  <si>
    <t>QUANT VENDAS</t>
  </si>
  <si>
    <t>BIA</t>
  </si>
  <si>
    <t>CARLOS</t>
  </si>
  <si>
    <t>PROCURE NA MATRIZ INTEIRA; CORRESPONDENTE AO VENDEDOR E AO ANO; A QUANT DE VENDAS</t>
  </si>
  <si>
    <t>CAMBIO - MOEDAS</t>
  </si>
  <si>
    <t>ESCOLHA A MOEDA</t>
  </si>
  <si>
    <t>DOLAR</t>
  </si>
  <si>
    <t>DATA</t>
  </si>
  <si>
    <t>REAL</t>
  </si>
  <si>
    <t>DOLAR_CANADENSE</t>
  </si>
  <si>
    <t>EURO</t>
  </si>
  <si>
    <t>ESCOLHA A DATA</t>
  </si>
  <si>
    <t>RESULTADO</t>
  </si>
  <si>
    <t>AGENDA PACIENTES</t>
  </si>
  <si>
    <t>N</t>
  </si>
  <si>
    <t>PACIENTE</t>
  </si>
  <si>
    <t>ESPECIALIDADE</t>
  </si>
  <si>
    <t>MEDICO</t>
  </si>
  <si>
    <t>HORARIO</t>
  </si>
  <si>
    <t>DIA SEMANA</t>
  </si>
  <si>
    <t>DENTISTA</t>
  </si>
  <si>
    <t>JOAN</t>
  </si>
  <si>
    <t>VANIA</t>
  </si>
  <si>
    <t>IVO</t>
  </si>
  <si>
    <t>CLINICO GERAL</t>
  </si>
  <si>
    <t>IGOR</t>
  </si>
  <si>
    <t>LARINGOLOGISTA</t>
  </si>
  <si>
    <t>TAIS</t>
  </si>
  <si>
    <t>VICK</t>
  </si>
  <si>
    <t>RAFA</t>
  </si>
  <si>
    <t>TABELA DE ATENDIMENTO MEDICO - POSTO DE SAUDE</t>
  </si>
  <si>
    <t>DIA DE ATENDIMENTO</t>
  </si>
  <si>
    <t>DR CARLOS</t>
  </si>
  <si>
    <t>PEDIATRIA</t>
  </si>
  <si>
    <t>08h AS 16h</t>
  </si>
  <si>
    <t>segunda</t>
  </si>
  <si>
    <t>DR BETH</t>
  </si>
  <si>
    <t>CARDIOLOGIA</t>
  </si>
  <si>
    <t>08h as 17h</t>
  </si>
  <si>
    <t>terça</t>
  </si>
  <si>
    <t>DR JOSE</t>
  </si>
  <si>
    <t>ODONTOLOGIA</t>
  </si>
  <si>
    <t>09h as 18h</t>
  </si>
  <si>
    <t>DR NADIA</t>
  </si>
  <si>
    <t>OTORRINO</t>
  </si>
  <si>
    <t>09h as 17h30</t>
  </si>
  <si>
    <t>quarta</t>
  </si>
  <si>
    <t>DR EDUARDO</t>
  </si>
  <si>
    <t>08h as 18h</t>
  </si>
  <si>
    <t>DR FABIO</t>
  </si>
  <si>
    <t>GINECOLOGIA</t>
  </si>
  <si>
    <t>quinta</t>
  </si>
  <si>
    <t>DR TANIA</t>
  </si>
  <si>
    <t>DR BRUNO</t>
  </si>
  <si>
    <t>ORTOPEDIA</t>
  </si>
  <si>
    <t>DR BETO</t>
  </si>
  <si>
    <t>GASTRO</t>
  </si>
  <si>
    <t>DR FABRICIO</t>
  </si>
  <si>
    <t>FONO</t>
  </si>
  <si>
    <t>DR GABRIEL</t>
  </si>
  <si>
    <t>CIRURGIÃO</t>
  </si>
  <si>
    <t>sexta</t>
  </si>
  <si>
    <t>DR UMBERTO</t>
  </si>
  <si>
    <t>DR JOAO</t>
  </si>
  <si>
    <t>NUTRICIONISTA</t>
  </si>
  <si>
    <t>REUMATOLOGISTA</t>
  </si>
  <si>
    <t>DR CARLOS H</t>
  </si>
  <si>
    <t>DIGITE A CAPITAL DESEJADA E ENCONTRE O PAIS E A POPULAÇAO</t>
  </si>
  <si>
    <t>INICIE COM A FUNÇAO INDICE E SELECIONE TODA A TABELA; EM SGUINDA ABRA A FUNCÃO CORRESP E CLIQUE NA CELULA ONDE IRA DIGITAR O DADO PROCURADO; NA SEQUENCIA SELECIONE OS DADOS CORRESPONDENTES NA TABELA; COLOQUE 0 OU 1; ABRA OUTRO CORRESP E SIGA OS MESMOS PASSOS, OU SEJA, CLIQUE NA CELULA ONDE ESTA ESCRITO PAIS, POIS É O TITULO QUE VOCE DESEJA PROCURAR, E NA SEQUENCIA CLIQUE NOS TITULOS DA TABELA</t>
  </si>
  <si>
    <t>AQUI EU CHAMEI DE DADOS A PLANILHA INTEIRA, SEM OS TITULOS</t>
  </si>
  <si>
    <t>CHAMEI DE DATA A COLUNA DE DATAS, SEM OS TITULOS</t>
  </si>
  <si>
    <t>CHAMEI DE MOEDAS SOMENTE A LINHA DOS TITULOS</t>
  </si>
  <si>
    <t>COMECE A FUNÇAO CORRESP PELA DATA POIS ELA É O PRIMEIRO VALOR DA COLUNA  SER PROCURADA</t>
  </si>
  <si>
    <t>INICIALMENTE COLOQUE UMA VALIDAÇAO DE DADOS NA COLUNA ESPECIALIDADE</t>
  </si>
  <si>
    <t>FAÇA O MESMO PARA AS COLUNAS HORARIO E DIA DA SEMANA</t>
  </si>
  <si>
    <t>PARA FAZER A FUNÇÃO INDICE COM O CORRESP NOS DEVEREMOS SEGUIR OS SEGUITES PASSOS:</t>
  </si>
  <si>
    <t>1) ENTRAR COM A FUNÇÃO INDICE E DELIMITAR A MATRIZ QUE CONTEM OS VALORES A SEREM PESQUISADOS</t>
  </si>
  <si>
    <t>2) DENTRO DA FUNÇÃO INDICE, ENTRE COM A FUNÇÃO CORRESP E CLIQUE SOBRE O LOCAL ONDE SE OBTERA O DADO; NA SEQUENCIA SELECIONE A MATRIZ DE DADOS QUE CONTEM A LISTA CORRESPONDENTE AO DADO DESEJADO; E EM SEGUIDA 0 SE FOREM VALORES EXATOS; FAÇA QUANTOS CORREPS FOREM NECESSÁRIOS PARA OBTER A CONSULTA DESEJADA usando a mesma sequencia</t>
  </si>
  <si>
    <t>OBS: SEPAREM CADA FUNÇÃO E OS DADOS SELECIONADOS COM ";" E COLOQUE OS DADOS DE CADA FUNÇÃO ENTRE PARENTESES</t>
  </si>
  <si>
    <t>NA COLUNA MEDICO: INICIE COM INDICE E SELECIONE OS DADOS DA TABELA, SEM OS TITULOS; EM SEGUIDA COLOQUE A FUNCAO CORRESP E CLIQUE NA CELULA QUE SERA PROCURADA E DEPOIS SELECIONE A COLUNA CORRESPONDENTE NA PLANILHA DE DADOS; COLOQUE 0; E EM SEGUIDA COLOUQE O NUMERO CORRESPONDENTE A COLUNA QUE CONTEM OS DADOS DA PLAINHA DE DADOS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</si>
</sst>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165" fontId="0" fillId="0" borderId="1" xfId="0" applyNumberFormat="1" applyBorder="1"/>
    <xf numFmtId="0" fontId="0" fillId="5" borderId="0" xfId="0" applyFill="1"/>
    <xf numFmtId="0" fontId="0" fillId="5" borderId="1" xfId="0" applyFill="1" applyBorder="1"/>
    <xf numFmtId="0" fontId="0" fillId="5" borderId="0" xfId="0" applyFill="1" applyBorder="1"/>
    <xf numFmtId="0" fontId="0" fillId="7" borderId="0" xfId="0" applyFill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2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2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horizontal="center"/>
    </xf>
  </cellXfs>
  <cellStyles count="2">
    <cellStyle name="Normal" xfId="0" builtinId="0"/>
    <cellStyle name="Separador de milhares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H8" sqref="H8:I8"/>
    </sheetView>
  </sheetViews>
  <sheetFormatPr defaultRowHeight="15"/>
  <cols>
    <col min="8" max="8" width="13.140625" customWidth="1"/>
  </cols>
  <sheetData>
    <row r="1" spans="1:10">
      <c r="A1" s="14" t="s">
        <v>52</v>
      </c>
      <c r="B1" s="14"/>
      <c r="C1" s="14"/>
      <c r="D1" s="14"/>
      <c r="E1" s="14"/>
      <c r="F1" s="14"/>
      <c r="H1" s="15" t="s">
        <v>53</v>
      </c>
      <c r="I1" s="15"/>
    </row>
    <row r="2" spans="1:10">
      <c r="A2" s="4" t="s">
        <v>54</v>
      </c>
      <c r="B2" s="4">
        <v>2013</v>
      </c>
      <c r="C2" s="4">
        <v>2014</v>
      </c>
      <c r="D2" s="4">
        <v>2015</v>
      </c>
      <c r="E2" s="4">
        <v>2016</v>
      </c>
      <c r="F2" s="4">
        <v>2017</v>
      </c>
      <c r="H2" s="5" t="s">
        <v>54</v>
      </c>
      <c r="I2" s="1" t="s">
        <v>55</v>
      </c>
    </row>
    <row r="3" spans="1:10">
      <c r="A3" s="1" t="s">
        <v>56</v>
      </c>
      <c r="B3" s="2">
        <v>23000</v>
      </c>
      <c r="C3" s="2">
        <v>34000</v>
      </c>
      <c r="D3" s="2">
        <v>45690</v>
      </c>
      <c r="E3" s="2">
        <v>345890</v>
      </c>
      <c r="F3" s="2">
        <v>21345</v>
      </c>
      <c r="H3" s="5" t="s">
        <v>57</v>
      </c>
      <c r="I3" s="1">
        <v>2015</v>
      </c>
    </row>
    <row r="4" spans="1:10">
      <c r="A4" s="1" t="s">
        <v>55</v>
      </c>
      <c r="B4" s="2">
        <v>34000</v>
      </c>
      <c r="C4" s="2">
        <v>45900</v>
      </c>
      <c r="D4" s="2">
        <v>34560</v>
      </c>
      <c r="E4" s="2">
        <v>43234</v>
      </c>
      <c r="F4" s="2">
        <v>54367</v>
      </c>
    </row>
    <row r="5" spans="1:10">
      <c r="A5" s="1" t="s">
        <v>58</v>
      </c>
      <c r="B5" s="2">
        <v>23400</v>
      </c>
      <c r="C5" s="2">
        <v>34000</v>
      </c>
      <c r="D5" s="2">
        <v>9876</v>
      </c>
      <c r="E5" s="2">
        <v>65432</v>
      </c>
      <c r="F5" s="2">
        <v>98765</v>
      </c>
    </row>
    <row r="6" spans="1:10">
      <c r="A6" s="1" t="s">
        <v>59</v>
      </c>
      <c r="B6" s="2">
        <v>45800</v>
      </c>
      <c r="C6" s="2">
        <v>56800</v>
      </c>
      <c r="D6" s="2">
        <v>56789</v>
      </c>
      <c r="E6" s="2">
        <v>67899</v>
      </c>
      <c r="F6" s="2">
        <v>34567</v>
      </c>
    </row>
    <row r="7" spans="1:10">
      <c r="A7" s="1" t="s">
        <v>55</v>
      </c>
      <c r="B7" s="2">
        <v>56900</v>
      </c>
      <c r="C7" s="2">
        <v>12340</v>
      </c>
      <c r="D7" s="2">
        <v>45678</v>
      </c>
      <c r="E7" s="2">
        <v>43212</v>
      </c>
      <c r="F7" s="2">
        <v>45566</v>
      </c>
      <c r="H7" s="15" t="s">
        <v>60</v>
      </c>
      <c r="I7" s="15"/>
    </row>
    <row r="8" spans="1:10">
      <c r="A8" s="1" t="s">
        <v>61</v>
      </c>
      <c r="B8" s="2">
        <v>12388</v>
      </c>
      <c r="C8" s="2">
        <v>8990</v>
      </c>
      <c r="D8" s="2">
        <v>34567</v>
      </c>
      <c r="E8" s="2">
        <v>65432</v>
      </c>
      <c r="F8" s="2">
        <v>34566</v>
      </c>
      <c r="H8" s="16">
        <f>INDEX(B3:F9,MATCH(I2,A3:A9,0),MATCH(I3,B2:F2,0))</f>
        <v>34560</v>
      </c>
      <c r="I8" s="16"/>
    </row>
    <row r="9" spans="1:10">
      <c r="A9" s="1" t="s">
        <v>62</v>
      </c>
      <c r="B9" s="2">
        <v>34567</v>
      </c>
      <c r="C9" s="2">
        <v>6789</v>
      </c>
      <c r="D9" s="2">
        <v>23456</v>
      </c>
      <c r="E9" s="2">
        <v>78997</v>
      </c>
      <c r="F9" s="2">
        <v>23444</v>
      </c>
      <c r="H9" t="s">
        <v>63</v>
      </c>
    </row>
    <row r="11" spans="1:10" ht="15.75">
      <c r="A11" s="17" t="s">
        <v>135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>
      <c r="A12" s="11" t="s">
        <v>136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2" t="s">
        <v>137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1" t="s">
        <v>138</v>
      </c>
      <c r="B19" s="11"/>
      <c r="C19" s="11"/>
      <c r="D19" s="11"/>
      <c r="E19" s="11"/>
      <c r="F19" s="11"/>
      <c r="G19" s="11"/>
      <c r="H19" s="11"/>
      <c r="I19" s="11"/>
      <c r="J19" s="11"/>
    </row>
  </sheetData>
  <mergeCells count="6">
    <mergeCell ref="A13:J18"/>
    <mergeCell ref="A1:F1"/>
    <mergeCell ref="H1:I1"/>
    <mergeCell ref="H7:I7"/>
    <mergeCell ref="H8:I8"/>
    <mergeCell ref="A11:J11"/>
  </mergeCells>
  <dataValidations count="2">
    <dataValidation type="list" allowBlank="1" showInputMessage="1" showErrorMessage="1" sqref="I2">
      <formula1>$A$3:$A$9</formula1>
    </dataValidation>
    <dataValidation type="list" allowBlank="1" showInputMessage="1" showErrorMessage="1" sqref="I3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zoomScale="90" zoomScaleNormal="90" workbookViewId="0">
      <selection activeCell="F3" sqref="F3"/>
    </sheetView>
  </sheetViews>
  <sheetFormatPr defaultRowHeight="15"/>
  <cols>
    <col min="1" max="1" width="11.42578125" customWidth="1"/>
    <col min="2" max="2" width="19.28515625" customWidth="1"/>
    <col min="3" max="3" width="17.5703125" customWidth="1"/>
    <col min="4" max="4" width="6.28515625" customWidth="1"/>
    <col min="5" max="5" width="16.5703125" customWidth="1"/>
    <col min="6" max="6" width="15.140625" customWidth="1"/>
    <col min="8" max="8" width="16.85546875" customWidth="1"/>
    <col min="9" max="9" width="10.7109375" customWidth="1"/>
  </cols>
  <sheetData>
    <row r="1" spans="1:8">
      <c r="A1" s="3" t="s">
        <v>50</v>
      </c>
      <c r="B1" s="3" t="s">
        <v>0</v>
      </c>
      <c r="C1" s="3" t="s">
        <v>1</v>
      </c>
      <c r="D1" s="8"/>
      <c r="E1" s="9" t="s">
        <v>51</v>
      </c>
      <c r="F1" s="1" t="s">
        <v>47</v>
      </c>
    </row>
    <row r="2" spans="1:8">
      <c r="A2" s="1" t="s">
        <v>2</v>
      </c>
      <c r="B2" s="1" t="s">
        <v>13</v>
      </c>
      <c r="C2" s="2">
        <v>127000000</v>
      </c>
      <c r="D2" s="8"/>
      <c r="E2" s="9" t="s">
        <v>50</v>
      </c>
      <c r="F2" s="1" t="str">
        <f>INDEX(A2:A25,MATCH(F1,B2:B25,0))</f>
        <v>PARAGUAI</v>
      </c>
    </row>
    <row r="3" spans="1:8">
      <c r="A3" s="1" t="s">
        <v>3</v>
      </c>
      <c r="B3" s="1" t="s">
        <v>14</v>
      </c>
      <c r="C3" s="2">
        <v>36290000</v>
      </c>
      <c r="D3" s="8"/>
      <c r="E3" s="9" t="s">
        <v>1</v>
      </c>
      <c r="F3" s="2">
        <f>INDEX(C2:C25,MATCH(F1,B2:B25,0))</f>
        <v>6730000</v>
      </c>
    </row>
    <row r="4" spans="1:8">
      <c r="A4" s="1" t="s">
        <v>4</v>
      </c>
      <c r="B4" s="1" t="s">
        <v>15</v>
      </c>
      <c r="C4" s="2">
        <v>325000000</v>
      </c>
      <c r="D4" s="8"/>
      <c r="E4" s="8"/>
    </row>
    <row r="5" spans="1:8">
      <c r="A5" s="1" t="s">
        <v>5</v>
      </c>
      <c r="B5" s="1" t="s">
        <v>16</v>
      </c>
      <c r="C5" s="2">
        <v>207000000</v>
      </c>
      <c r="D5" s="8"/>
      <c r="E5" s="10" t="s">
        <v>127</v>
      </c>
    </row>
    <row r="6" spans="1:8">
      <c r="A6" s="1" t="s">
        <v>6</v>
      </c>
      <c r="B6" s="1" t="s">
        <v>17</v>
      </c>
      <c r="C6" s="2">
        <v>17910000</v>
      </c>
    </row>
    <row r="7" spans="1:8">
      <c r="A7" s="1" t="s">
        <v>7</v>
      </c>
      <c r="B7" s="1" t="s">
        <v>18</v>
      </c>
      <c r="C7" s="2">
        <v>42980000</v>
      </c>
      <c r="E7" s="18" t="s">
        <v>128</v>
      </c>
      <c r="F7" s="19"/>
      <c r="G7" s="19"/>
      <c r="H7" s="19"/>
    </row>
    <row r="8" spans="1:8">
      <c r="A8" s="1" t="s">
        <v>8</v>
      </c>
      <c r="B8" s="1" t="s">
        <v>19</v>
      </c>
      <c r="C8" s="2">
        <v>66900000</v>
      </c>
      <c r="E8" s="19"/>
      <c r="F8" s="19"/>
      <c r="G8" s="19"/>
      <c r="H8" s="19"/>
    </row>
    <row r="9" spans="1:8">
      <c r="A9" s="1" t="s">
        <v>9</v>
      </c>
      <c r="B9" s="1" t="s">
        <v>21</v>
      </c>
      <c r="C9" s="2">
        <v>60600000</v>
      </c>
      <c r="E9" s="19"/>
      <c r="F9" s="19"/>
      <c r="G9" s="19"/>
      <c r="H9" s="19"/>
    </row>
    <row r="10" spans="1:8">
      <c r="A10" s="1" t="s">
        <v>10</v>
      </c>
      <c r="B10" s="1" t="s">
        <v>20</v>
      </c>
      <c r="C10" s="2">
        <v>53010000</v>
      </c>
      <c r="E10" s="19"/>
      <c r="F10" s="19"/>
      <c r="G10" s="19"/>
      <c r="H10" s="19"/>
    </row>
    <row r="11" spans="1:8">
      <c r="A11" s="1" t="s">
        <v>27</v>
      </c>
      <c r="B11" s="1" t="s">
        <v>26</v>
      </c>
      <c r="C11" s="2">
        <v>68860000</v>
      </c>
      <c r="E11" s="19"/>
      <c r="F11" s="19"/>
      <c r="G11" s="19"/>
      <c r="H11" s="19"/>
    </row>
    <row r="12" spans="1:8">
      <c r="A12" s="1" t="s">
        <v>11</v>
      </c>
      <c r="B12" s="1" t="s">
        <v>25</v>
      </c>
      <c r="C12" s="2">
        <v>51250000</v>
      </c>
      <c r="E12" s="19"/>
      <c r="F12" s="19"/>
      <c r="G12" s="19"/>
      <c r="H12" s="19"/>
    </row>
    <row r="13" spans="1:8">
      <c r="A13" s="1" t="s">
        <v>23</v>
      </c>
      <c r="B13" s="1" t="s">
        <v>22</v>
      </c>
      <c r="C13" s="2">
        <v>31770000</v>
      </c>
      <c r="E13" s="19"/>
      <c r="F13" s="19"/>
      <c r="G13" s="19"/>
      <c r="H13" s="19"/>
    </row>
    <row r="14" spans="1:8">
      <c r="A14" s="1" t="s">
        <v>12</v>
      </c>
      <c r="B14" s="1" t="s">
        <v>24</v>
      </c>
      <c r="C14" s="2">
        <v>31570000</v>
      </c>
    </row>
    <row r="15" spans="1:8">
      <c r="A15" s="1" t="s">
        <v>28</v>
      </c>
      <c r="B15" s="1" t="s">
        <v>31</v>
      </c>
      <c r="C15" s="2">
        <v>95690000</v>
      </c>
    </row>
    <row r="16" spans="1:8">
      <c r="A16" s="1" t="s">
        <v>29</v>
      </c>
      <c r="B16" s="1" t="s">
        <v>30</v>
      </c>
      <c r="C16" s="2">
        <v>127500000</v>
      </c>
    </row>
    <row r="17" spans="1:3">
      <c r="A17" s="1" t="s">
        <v>32</v>
      </c>
      <c r="B17" s="1" t="s">
        <v>33</v>
      </c>
      <c r="C17" s="2">
        <v>144300000</v>
      </c>
    </row>
    <row r="18" spans="1:3">
      <c r="A18" s="1" t="s">
        <v>34</v>
      </c>
      <c r="B18" s="1" t="s">
        <v>35</v>
      </c>
      <c r="C18" s="2">
        <v>48650000</v>
      </c>
    </row>
    <row r="19" spans="1:3">
      <c r="A19" s="1" t="s">
        <v>36</v>
      </c>
      <c r="B19" s="1" t="s">
        <v>37</v>
      </c>
      <c r="C19" s="2">
        <v>10750000</v>
      </c>
    </row>
    <row r="20" spans="1:3">
      <c r="A20" s="1" t="s">
        <v>38</v>
      </c>
      <c r="B20" s="1" t="s">
        <v>39</v>
      </c>
      <c r="C20" s="2">
        <v>10320000</v>
      </c>
    </row>
    <row r="21" spans="1:3">
      <c r="A21" s="1" t="s">
        <v>40</v>
      </c>
      <c r="B21" s="1" t="s">
        <v>41</v>
      </c>
      <c r="C21" s="2">
        <v>46550000</v>
      </c>
    </row>
    <row r="22" spans="1:3">
      <c r="A22" s="1" t="s">
        <v>42</v>
      </c>
      <c r="B22" s="1" t="s">
        <v>43</v>
      </c>
      <c r="C22" s="2">
        <v>16390000</v>
      </c>
    </row>
    <row r="23" spans="1:3">
      <c r="A23" s="1" t="s">
        <v>44</v>
      </c>
      <c r="B23" s="1" t="s">
        <v>45</v>
      </c>
      <c r="C23" s="2">
        <v>3444000</v>
      </c>
    </row>
    <row r="24" spans="1:3">
      <c r="A24" s="1" t="s">
        <v>46</v>
      </c>
      <c r="B24" s="1" t="s">
        <v>47</v>
      </c>
      <c r="C24" s="2">
        <v>6730000</v>
      </c>
    </row>
    <row r="25" spans="1:3">
      <c r="A25" s="1" t="s">
        <v>48</v>
      </c>
      <c r="B25" s="1" t="s">
        <v>49</v>
      </c>
      <c r="C25" s="2">
        <v>5225000</v>
      </c>
    </row>
  </sheetData>
  <mergeCells count="1">
    <mergeCell ref="E7:H13"/>
  </mergeCells>
  <dataValidations count="1">
    <dataValidation type="list" allowBlank="1" showInputMessage="1" showErrorMessage="1" sqref="F1">
      <formula1>$B$2:$B$25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I3" sqref="I3"/>
    </sheetView>
  </sheetViews>
  <sheetFormatPr defaultRowHeight="15"/>
  <cols>
    <col min="1" max="1" width="20.28515625" customWidth="1"/>
    <col min="4" max="4" width="18.140625" customWidth="1"/>
    <col min="9" max="9" width="17.85546875" customWidth="1"/>
  </cols>
  <sheetData>
    <row r="1" spans="1:9">
      <c r="A1" s="20" t="s">
        <v>64</v>
      </c>
      <c r="B1" s="20"/>
      <c r="C1" s="20"/>
      <c r="D1" s="20"/>
      <c r="E1" s="20"/>
      <c r="G1" s="15" t="s">
        <v>65</v>
      </c>
      <c r="H1" s="15"/>
      <c r="I1" s="1" t="s">
        <v>66</v>
      </c>
    </row>
    <row r="2" spans="1:9">
      <c r="A2" s="5" t="s">
        <v>67</v>
      </c>
      <c r="B2" s="5" t="s">
        <v>68</v>
      </c>
      <c r="C2" s="5" t="s">
        <v>66</v>
      </c>
      <c r="D2" s="5" t="s">
        <v>69</v>
      </c>
      <c r="E2" s="5" t="s">
        <v>70</v>
      </c>
      <c r="G2" s="15" t="s">
        <v>71</v>
      </c>
      <c r="H2" s="15"/>
      <c r="I2" s="6">
        <v>43246</v>
      </c>
    </row>
    <row r="3" spans="1:9">
      <c r="A3" s="6">
        <v>43221</v>
      </c>
      <c r="B3" s="7">
        <v>1</v>
      </c>
      <c r="C3" s="1">
        <v>3.56</v>
      </c>
      <c r="D3" s="1">
        <v>2.76</v>
      </c>
      <c r="E3" s="1">
        <v>4.1900000000000004</v>
      </c>
      <c r="G3" s="15" t="s">
        <v>72</v>
      </c>
      <c r="H3" s="15"/>
      <c r="I3" s="1">
        <f>INDEX(B3:E33,MATCH(I2,DATAS,0),MATCH(I1,B2:E2,0))</f>
        <v>3.44</v>
      </c>
    </row>
    <row r="4" spans="1:9">
      <c r="A4" s="6">
        <v>43222</v>
      </c>
      <c r="B4" s="7">
        <v>1</v>
      </c>
      <c r="C4" s="1">
        <v>3.45</v>
      </c>
      <c r="D4" s="1">
        <v>2.75</v>
      </c>
      <c r="E4" s="1">
        <v>4.22</v>
      </c>
    </row>
    <row r="5" spans="1:9">
      <c r="A5" s="6">
        <v>43223</v>
      </c>
      <c r="B5" s="7">
        <v>1</v>
      </c>
      <c r="C5" s="1">
        <v>3.55</v>
      </c>
      <c r="D5" s="1">
        <v>2.75</v>
      </c>
      <c r="E5" s="1">
        <v>4.2300000000000004</v>
      </c>
    </row>
    <row r="6" spans="1:9">
      <c r="A6" s="6">
        <v>43224</v>
      </c>
      <c r="B6" s="7">
        <v>1</v>
      </c>
      <c r="C6" s="1">
        <v>3.54</v>
      </c>
      <c r="D6" s="1">
        <v>2.66</v>
      </c>
      <c r="E6" s="1">
        <v>4.0999999999999996</v>
      </c>
    </row>
    <row r="7" spans="1:9">
      <c r="A7" s="6">
        <v>43225</v>
      </c>
      <c r="B7" s="7">
        <v>1</v>
      </c>
      <c r="C7" s="1">
        <v>3.53</v>
      </c>
      <c r="D7" s="1">
        <v>2.78</v>
      </c>
      <c r="E7" s="1">
        <v>4.22</v>
      </c>
    </row>
    <row r="8" spans="1:9">
      <c r="A8" s="6">
        <v>43226</v>
      </c>
      <c r="B8" s="7">
        <v>1</v>
      </c>
      <c r="C8" s="1">
        <v>3.44</v>
      </c>
      <c r="D8" s="1">
        <v>2.76</v>
      </c>
      <c r="E8" s="1">
        <v>4.2</v>
      </c>
    </row>
    <row r="9" spans="1:9">
      <c r="A9" s="6">
        <v>43227</v>
      </c>
      <c r="B9" s="7">
        <v>1</v>
      </c>
      <c r="C9" s="1">
        <v>3.45</v>
      </c>
      <c r="D9" s="1">
        <v>2.7</v>
      </c>
      <c r="E9" s="1">
        <v>4.18</v>
      </c>
      <c r="G9" t="s">
        <v>129</v>
      </c>
    </row>
    <row r="10" spans="1:9">
      <c r="A10" s="6">
        <v>43228</v>
      </c>
      <c r="B10" s="7">
        <v>1</v>
      </c>
      <c r="C10" s="1">
        <v>3.29</v>
      </c>
      <c r="D10" s="1">
        <v>2.87</v>
      </c>
      <c r="E10" s="1">
        <v>4.2</v>
      </c>
      <c r="G10" t="s">
        <v>130</v>
      </c>
    </row>
    <row r="11" spans="1:9">
      <c r="A11" s="6">
        <v>43229</v>
      </c>
      <c r="B11" s="7">
        <v>1</v>
      </c>
      <c r="C11" s="1">
        <v>3.31</v>
      </c>
      <c r="D11" s="1">
        <v>2.77</v>
      </c>
      <c r="E11" s="1">
        <v>4.12</v>
      </c>
      <c r="G11" t="s">
        <v>131</v>
      </c>
    </row>
    <row r="12" spans="1:9">
      <c r="A12" s="6">
        <v>43230</v>
      </c>
      <c r="B12" s="7">
        <v>1</v>
      </c>
      <c r="C12" s="1">
        <v>3.3</v>
      </c>
      <c r="D12" s="1">
        <v>2.71</v>
      </c>
      <c r="E12" s="1">
        <v>4.21</v>
      </c>
      <c r="G12" t="s">
        <v>132</v>
      </c>
    </row>
    <row r="13" spans="1:9">
      <c r="A13" s="6">
        <v>43231</v>
      </c>
      <c r="B13" s="7">
        <v>1</v>
      </c>
      <c r="C13" s="1">
        <v>3.56</v>
      </c>
      <c r="D13" s="1">
        <v>2.76</v>
      </c>
      <c r="E13" s="1">
        <v>4.1900000000000004</v>
      </c>
    </row>
    <row r="14" spans="1:9">
      <c r="A14" s="6">
        <v>43232</v>
      </c>
      <c r="B14" s="7">
        <v>1</v>
      </c>
      <c r="C14" s="1">
        <v>3.45</v>
      </c>
      <c r="D14" s="1">
        <v>2.75</v>
      </c>
      <c r="E14" s="1">
        <v>4.22</v>
      </c>
    </row>
    <row r="15" spans="1:9">
      <c r="A15" s="6">
        <v>43233</v>
      </c>
      <c r="B15" s="7">
        <v>1</v>
      </c>
      <c r="C15" s="1">
        <v>3.55</v>
      </c>
      <c r="D15" s="1">
        <v>2.75</v>
      </c>
      <c r="E15" s="1">
        <v>4.2300000000000004</v>
      </c>
    </row>
    <row r="16" spans="1:9">
      <c r="A16" s="6">
        <v>43234</v>
      </c>
      <c r="B16" s="7">
        <v>1</v>
      </c>
      <c r="C16" s="1">
        <v>3.54</v>
      </c>
      <c r="D16" s="1">
        <v>2.66</v>
      </c>
      <c r="E16" s="1">
        <v>4.0999999999999996</v>
      </c>
    </row>
    <row r="17" spans="1:5">
      <c r="A17" s="6">
        <v>43235</v>
      </c>
      <c r="B17" s="7">
        <v>1</v>
      </c>
      <c r="C17" s="1">
        <v>3.53</v>
      </c>
      <c r="D17" s="1">
        <v>2.78</v>
      </c>
      <c r="E17" s="1">
        <v>4.22</v>
      </c>
    </row>
    <row r="18" spans="1:5">
      <c r="A18" s="6">
        <v>43236</v>
      </c>
      <c r="B18" s="7">
        <v>1</v>
      </c>
      <c r="C18" s="1">
        <v>3.44</v>
      </c>
      <c r="D18" s="1">
        <v>2.76</v>
      </c>
      <c r="E18" s="1">
        <v>4.2</v>
      </c>
    </row>
    <row r="19" spans="1:5">
      <c r="A19" s="6">
        <v>43237</v>
      </c>
      <c r="B19" s="7">
        <v>1</v>
      </c>
      <c r="C19" s="1">
        <v>3.45</v>
      </c>
      <c r="D19" s="1">
        <v>2.7</v>
      </c>
      <c r="E19" s="1">
        <v>4.18</v>
      </c>
    </row>
    <row r="20" spans="1:5">
      <c r="A20" s="6">
        <v>43238</v>
      </c>
      <c r="B20" s="7">
        <v>1</v>
      </c>
      <c r="C20" s="1">
        <v>3.29</v>
      </c>
      <c r="D20" s="1">
        <v>2.87</v>
      </c>
      <c r="E20" s="1">
        <v>4.2</v>
      </c>
    </row>
    <row r="21" spans="1:5">
      <c r="A21" s="6">
        <v>43239</v>
      </c>
      <c r="B21" s="7">
        <v>1</v>
      </c>
      <c r="C21" s="1">
        <v>3.31</v>
      </c>
      <c r="D21" s="1">
        <v>2.77</v>
      </c>
      <c r="E21" s="1">
        <v>4.12</v>
      </c>
    </row>
    <row r="22" spans="1:5">
      <c r="A22" s="6">
        <v>43240</v>
      </c>
      <c r="B22" s="7">
        <v>1</v>
      </c>
      <c r="C22" s="1">
        <v>3.3</v>
      </c>
      <c r="D22" s="1">
        <v>2.71</v>
      </c>
      <c r="E22" s="1">
        <v>4.21</v>
      </c>
    </row>
    <row r="23" spans="1:5">
      <c r="A23" s="6">
        <v>43241</v>
      </c>
      <c r="B23" s="7">
        <v>1</v>
      </c>
      <c r="C23" s="1">
        <v>3.56</v>
      </c>
      <c r="D23" s="1">
        <v>2.76</v>
      </c>
      <c r="E23" s="1">
        <v>4.1900000000000004</v>
      </c>
    </row>
    <row r="24" spans="1:5">
      <c r="A24" s="6">
        <v>43242</v>
      </c>
      <c r="B24" s="7">
        <v>1</v>
      </c>
      <c r="C24" s="1">
        <v>3.45</v>
      </c>
      <c r="D24" s="1">
        <v>2.75</v>
      </c>
      <c r="E24" s="1">
        <v>4.22</v>
      </c>
    </row>
    <row r="25" spans="1:5">
      <c r="A25" s="6">
        <v>43243</v>
      </c>
      <c r="B25" s="7">
        <v>1</v>
      </c>
      <c r="C25" s="1">
        <v>3.55</v>
      </c>
      <c r="D25" s="1">
        <v>2.75</v>
      </c>
      <c r="E25" s="1">
        <v>4.2300000000000004</v>
      </c>
    </row>
    <row r="26" spans="1:5">
      <c r="A26" s="6">
        <v>43244</v>
      </c>
      <c r="B26" s="7">
        <v>1</v>
      </c>
      <c r="C26" s="1">
        <v>3.54</v>
      </c>
      <c r="D26" s="1">
        <v>2.66</v>
      </c>
      <c r="E26" s="1">
        <v>4.0999999999999996</v>
      </c>
    </row>
    <row r="27" spans="1:5">
      <c r="A27" s="6">
        <v>43245</v>
      </c>
      <c r="B27" s="7">
        <v>1</v>
      </c>
      <c r="C27" s="1">
        <v>3.53</v>
      </c>
      <c r="D27" s="1">
        <v>2.78</v>
      </c>
      <c r="E27" s="1">
        <v>4.22</v>
      </c>
    </row>
    <row r="28" spans="1:5">
      <c r="A28" s="6">
        <v>43246</v>
      </c>
      <c r="B28" s="7">
        <v>1</v>
      </c>
      <c r="C28" s="1">
        <v>3.44</v>
      </c>
      <c r="D28" s="1">
        <v>2.76</v>
      </c>
      <c r="E28" s="1">
        <v>4.2</v>
      </c>
    </row>
    <row r="29" spans="1:5">
      <c r="A29" s="6">
        <v>43247</v>
      </c>
      <c r="B29" s="7">
        <v>1</v>
      </c>
      <c r="C29" s="1">
        <v>3.45</v>
      </c>
      <c r="D29" s="1">
        <v>2.7</v>
      </c>
      <c r="E29" s="1">
        <v>4.18</v>
      </c>
    </row>
    <row r="30" spans="1:5">
      <c r="A30" s="6">
        <v>43248</v>
      </c>
      <c r="B30" s="7">
        <v>1</v>
      </c>
      <c r="C30" s="1">
        <v>3.29</v>
      </c>
      <c r="D30" s="1">
        <v>2.87</v>
      </c>
      <c r="E30" s="1">
        <v>4.2</v>
      </c>
    </row>
    <row r="31" spans="1:5">
      <c r="A31" s="6">
        <v>43249</v>
      </c>
      <c r="B31" s="7">
        <v>1</v>
      </c>
      <c r="C31" s="1">
        <v>3.31</v>
      </c>
      <c r="D31" s="1">
        <v>2.77</v>
      </c>
      <c r="E31" s="1">
        <v>4.12</v>
      </c>
    </row>
    <row r="32" spans="1:5">
      <c r="A32" s="6">
        <v>43250</v>
      </c>
      <c r="B32" s="7">
        <v>1</v>
      </c>
      <c r="C32" s="1">
        <v>3.3</v>
      </c>
      <c r="D32" s="1">
        <v>2.71</v>
      </c>
      <c r="E32" s="1">
        <v>4.21</v>
      </c>
    </row>
    <row r="33" spans="1:5">
      <c r="A33" s="6">
        <v>43251</v>
      </c>
      <c r="B33" s="7">
        <v>1</v>
      </c>
      <c r="C33" s="1">
        <v>3.32</v>
      </c>
      <c r="D33" s="1">
        <v>2.8</v>
      </c>
      <c r="E33" s="1">
        <v>4.12</v>
      </c>
    </row>
  </sheetData>
  <mergeCells count="4">
    <mergeCell ref="A1:E1"/>
    <mergeCell ref="G1:H1"/>
    <mergeCell ref="G2:H2"/>
    <mergeCell ref="G3:H3"/>
  </mergeCells>
  <dataValidations count="2">
    <dataValidation type="list" allowBlank="1" showInputMessage="1" showErrorMessage="1" sqref="I1">
      <formula1>$B$2:$E$2</formula1>
    </dataValidation>
    <dataValidation type="list" allowBlank="1" showInputMessage="1" showErrorMessage="1" sqref="I2">
      <formula1>DATAS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activeCell="B4" sqref="B4"/>
    </sheetView>
  </sheetViews>
  <sheetFormatPr defaultRowHeight="15"/>
  <cols>
    <col min="1" max="1" width="13.42578125" customWidth="1"/>
    <col min="2" max="2" width="17.5703125" customWidth="1"/>
    <col min="3" max="3" width="13.85546875" customWidth="1"/>
    <col min="4" max="4" width="20" customWidth="1"/>
  </cols>
  <sheetData>
    <row r="1" spans="1:4">
      <c r="A1" s="21" t="s">
        <v>90</v>
      </c>
      <c r="B1" s="21"/>
      <c r="C1" s="21"/>
      <c r="D1" s="21"/>
    </row>
    <row r="2" spans="1:4">
      <c r="A2" s="1" t="s">
        <v>77</v>
      </c>
      <c r="B2" s="1" t="s">
        <v>76</v>
      </c>
      <c r="C2" s="1" t="s">
        <v>78</v>
      </c>
      <c r="D2" s="1" t="s">
        <v>91</v>
      </c>
    </row>
    <row r="3" spans="1:4">
      <c r="A3" s="1" t="s">
        <v>126</v>
      </c>
      <c r="B3" s="1" t="s">
        <v>93</v>
      </c>
      <c r="C3" s="1" t="s">
        <v>94</v>
      </c>
      <c r="D3" s="1" t="s">
        <v>95</v>
      </c>
    </row>
    <row r="4" spans="1:4">
      <c r="A4" s="1" t="s">
        <v>96</v>
      </c>
      <c r="B4" s="1" t="s">
        <v>97</v>
      </c>
      <c r="C4" s="1" t="s">
        <v>98</v>
      </c>
      <c r="D4" s="1" t="s">
        <v>99</v>
      </c>
    </row>
    <row r="5" spans="1:4">
      <c r="A5" s="1" t="s">
        <v>100</v>
      </c>
      <c r="B5" s="1" t="s">
        <v>101</v>
      </c>
      <c r="C5" s="1" t="s">
        <v>102</v>
      </c>
      <c r="D5" s="1" t="s">
        <v>95</v>
      </c>
    </row>
    <row r="6" spans="1:4">
      <c r="A6" s="1" t="s">
        <v>103</v>
      </c>
      <c r="B6" s="1" t="s">
        <v>104</v>
      </c>
      <c r="C6" s="1" t="s">
        <v>105</v>
      </c>
      <c r="D6" s="1" t="s">
        <v>106</v>
      </c>
    </row>
    <row r="7" spans="1:4">
      <c r="A7" s="1" t="s">
        <v>107</v>
      </c>
      <c r="B7" s="1" t="s">
        <v>86</v>
      </c>
      <c r="C7" s="1" t="s">
        <v>108</v>
      </c>
      <c r="D7" s="1" t="s">
        <v>95</v>
      </c>
    </row>
    <row r="8" spans="1:4">
      <c r="A8" s="1" t="s">
        <v>109</v>
      </c>
      <c r="B8" s="1" t="s">
        <v>110</v>
      </c>
      <c r="C8" s="1" t="s">
        <v>94</v>
      </c>
      <c r="D8" s="1" t="s">
        <v>111</v>
      </c>
    </row>
    <row r="9" spans="1:4">
      <c r="A9" s="1" t="s">
        <v>112</v>
      </c>
      <c r="B9" s="1" t="s">
        <v>84</v>
      </c>
      <c r="C9" s="1" t="s">
        <v>98</v>
      </c>
      <c r="D9" s="1" t="s">
        <v>95</v>
      </c>
    </row>
    <row r="10" spans="1:4">
      <c r="A10" s="1" t="s">
        <v>113</v>
      </c>
      <c r="B10" s="1" t="s">
        <v>114</v>
      </c>
      <c r="C10" s="1" t="s">
        <v>102</v>
      </c>
      <c r="D10" s="1" t="s">
        <v>99</v>
      </c>
    </row>
    <row r="11" spans="1:4">
      <c r="A11" s="1" t="s">
        <v>115</v>
      </c>
      <c r="B11" s="1" t="s">
        <v>116</v>
      </c>
      <c r="C11" s="1" t="s">
        <v>105</v>
      </c>
      <c r="D11" s="1" t="s">
        <v>106</v>
      </c>
    </row>
    <row r="12" spans="1:4">
      <c r="A12" s="1" t="s">
        <v>117</v>
      </c>
      <c r="B12" s="1" t="s">
        <v>118</v>
      </c>
      <c r="C12" s="1" t="s">
        <v>108</v>
      </c>
      <c r="D12" s="1" t="s">
        <v>111</v>
      </c>
    </row>
    <row r="13" spans="1:4">
      <c r="A13" s="1" t="s">
        <v>119</v>
      </c>
      <c r="B13" s="1" t="s">
        <v>120</v>
      </c>
      <c r="C13" s="1" t="s">
        <v>94</v>
      </c>
      <c r="D13" s="1" t="s">
        <v>121</v>
      </c>
    </row>
    <row r="14" spans="1:4">
      <c r="A14" s="1" t="s">
        <v>122</v>
      </c>
      <c r="B14" s="1" t="s">
        <v>80</v>
      </c>
      <c r="C14" s="1" t="s">
        <v>98</v>
      </c>
      <c r="D14" s="1" t="s">
        <v>121</v>
      </c>
    </row>
    <row r="15" spans="1:4">
      <c r="A15" s="1" t="s">
        <v>123</v>
      </c>
      <c r="B15" s="1" t="s">
        <v>124</v>
      </c>
      <c r="C15" s="1" t="s">
        <v>102</v>
      </c>
      <c r="D15" s="1" t="s">
        <v>95</v>
      </c>
    </row>
    <row r="16" spans="1:4">
      <c r="A16" s="1" t="s">
        <v>92</v>
      </c>
      <c r="B16" s="1" t="s">
        <v>125</v>
      </c>
      <c r="C16" s="1" t="s">
        <v>105</v>
      </c>
      <c r="D16" s="1" t="s">
        <v>99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H17" sqref="H17"/>
    </sheetView>
  </sheetViews>
  <sheetFormatPr defaultRowHeight="15"/>
  <cols>
    <col min="2" max="2" width="13.85546875" customWidth="1"/>
    <col min="3" max="3" width="17.5703125" customWidth="1"/>
    <col min="4" max="4" width="12.5703125" bestFit="1" customWidth="1"/>
    <col min="5" max="5" width="11.7109375" customWidth="1"/>
    <col min="6" max="7" width="12" customWidth="1"/>
    <col min="8" max="8" width="10.28515625" customWidth="1"/>
    <col min="12" max="12" width="43" customWidth="1"/>
    <col min="13" max="13" width="35.28515625" customWidth="1"/>
  </cols>
  <sheetData>
    <row r="1" spans="1:14">
      <c r="A1" s="15" t="s">
        <v>73</v>
      </c>
      <c r="B1" s="15"/>
      <c r="C1" s="15"/>
      <c r="D1" s="15"/>
      <c r="E1" s="15"/>
      <c r="F1" s="15"/>
      <c r="H1" s="22" t="s">
        <v>133</v>
      </c>
      <c r="I1" s="22"/>
      <c r="J1" s="22"/>
      <c r="K1" s="22"/>
      <c r="L1" s="22"/>
      <c r="M1" s="22"/>
    </row>
    <row r="2" spans="1:14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</row>
    <row r="3" spans="1:14">
      <c r="A3" s="1">
        <v>1</v>
      </c>
      <c r="B3" s="1" t="s">
        <v>55</v>
      </c>
      <c r="C3" s="1" t="s">
        <v>86</v>
      </c>
      <c r="D3" s="1" t="str">
        <f>INDEX(MEDICOS!$A$3:$A$16,MATCH(CONSULTAS!C3,MEDICOS!$B$3:$B$16,0))</f>
        <v>DR EDUARDO</v>
      </c>
      <c r="E3" s="1" t="str">
        <f>INDEX(MEDICOS!$C$3:$C$16,MATCH(CONSULTAS!D3,MEDICOS!$A$3:$A$16,0))</f>
        <v>08h as 18h</v>
      </c>
      <c r="F3" s="1" t="str">
        <f>INDEX(MEDICOS!$D$3:$D$16,MATCH(CONSULTAS!E3,MEDICOS!$C$3:$C$16,0))</f>
        <v>segunda</v>
      </c>
      <c r="H3" s="23" t="s">
        <v>139</v>
      </c>
      <c r="I3" s="23"/>
      <c r="J3" s="23"/>
      <c r="K3" s="23"/>
      <c r="L3" s="23"/>
      <c r="M3" s="23"/>
      <c r="N3" s="23"/>
    </row>
    <row r="4" spans="1:14">
      <c r="A4" s="1">
        <v>2</v>
      </c>
      <c r="B4" s="1" t="s">
        <v>81</v>
      </c>
      <c r="C4" s="1" t="s">
        <v>97</v>
      </c>
      <c r="D4" s="1" t="str">
        <f>INDEX(MEDICOS!$A$3:$A$16,MATCH(CONSULTAS!C4,MEDICOS!$B$3:$B$16,0))</f>
        <v>DR BETH</v>
      </c>
      <c r="E4" s="1" t="str">
        <f>INDEX(MEDICOS!$C$3:$C$16,MATCH(CONSULTAS!D4,MEDICOS!$A$3:$A$16,0))</f>
        <v>08h as 17h</v>
      </c>
      <c r="F4" s="1" t="str">
        <f>INDEX(MEDICOS!$D$3:$D$16,MATCH(CONSULTAS!E4,MEDICOS!$C$3:$C$16,0))</f>
        <v>terça</v>
      </c>
      <c r="H4" s="23"/>
      <c r="I4" s="23"/>
      <c r="J4" s="23"/>
      <c r="K4" s="23"/>
      <c r="L4" s="23"/>
      <c r="M4" s="23"/>
      <c r="N4" s="23"/>
    </row>
    <row r="5" spans="1:14">
      <c r="A5" s="1">
        <v>3</v>
      </c>
      <c r="B5" s="1" t="s">
        <v>82</v>
      </c>
      <c r="C5" s="1" t="s">
        <v>97</v>
      </c>
      <c r="D5" s="1" t="str">
        <f>INDEX(MEDICOS!$A$3:$A$16,MATCH(CONSULTAS!C5,MEDICOS!$B$3:$B$16,0))</f>
        <v>DR BETH</v>
      </c>
      <c r="E5" s="1" t="str">
        <f>INDEX(MEDICOS!$C$3:$C$16,MATCH(CONSULTAS!D5,MEDICOS!$A$3:$A$16,0))</f>
        <v>08h as 17h</v>
      </c>
      <c r="F5" s="1" t="str">
        <f>INDEX(MEDICOS!$D$3:$D$16,MATCH(CONSULTAS!E5,MEDICOS!$C$3:$C$16,0))</f>
        <v>terça</v>
      </c>
      <c r="H5" s="23"/>
      <c r="I5" s="23"/>
      <c r="J5" s="23"/>
      <c r="K5" s="23"/>
      <c r="L5" s="23"/>
      <c r="M5" s="23"/>
      <c r="N5" s="23"/>
    </row>
    <row r="6" spans="1:14">
      <c r="A6" s="1">
        <v>4</v>
      </c>
      <c r="B6" s="1" t="s">
        <v>83</v>
      </c>
      <c r="C6" s="1" t="s">
        <v>114</v>
      </c>
      <c r="D6" s="1" t="str">
        <f>INDEX(MEDICOS!$A$3:$A$16,MATCH(CONSULTAS!C6,MEDICOS!$B$3:$B$16,0))</f>
        <v>DR BRUNO</v>
      </c>
      <c r="E6" s="1" t="str">
        <f>INDEX(MEDICOS!$C$3:$C$16,MATCH(CONSULTAS!D6,MEDICOS!$A$3:$A$16,0))</f>
        <v>09h as 18h</v>
      </c>
      <c r="F6" s="1" t="str">
        <f>INDEX(MEDICOS!$D$3:$D$16,MATCH(CONSULTAS!E6,MEDICOS!$C$3:$C$16,0))</f>
        <v>segunda</v>
      </c>
      <c r="H6" s="24"/>
      <c r="I6" s="24"/>
      <c r="J6" s="24"/>
      <c r="K6" s="24"/>
      <c r="L6" s="24"/>
      <c r="M6" s="24"/>
      <c r="N6" s="24"/>
    </row>
    <row r="7" spans="1:14">
      <c r="A7" s="1">
        <v>5</v>
      </c>
      <c r="B7" s="1" t="s">
        <v>85</v>
      </c>
      <c r="C7" s="1" t="s">
        <v>97</v>
      </c>
      <c r="D7" s="1" t="str">
        <f>INDEX(MEDICOS!$A$3:$A$16,MATCH(CONSULTAS!C7,MEDICOS!$B$3:$B$16,0))</f>
        <v>DR BETH</v>
      </c>
      <c r="E7" s="1" t="str">
        <f>INDEX(MEDICOS!$C$3:$C$16,MATCH(CONSULTAS!D7,MEDICOS!$A$3:$A$16,0))</f>
        <v>08h as 17h</v>
      </c>
      <c r="F7" s="1" t="str">
        <f>INDEX(MEDICOS!$D$3:$D$16,MATCH(CONSULTAS!E7,MEDICOS!$C$3:$C$16,0))</f>
        <v>terça</v>
      </c>
    </row>
    <row r="8" spans="1:14">
      <c r="A8" s="1">
        <v>6</v>
      </c>
      <c r="B8" s="1" t="s">
        <v>87</v>
      </c>
      <c r="C8" s="1" t="s">
        <v>104</v>
      </c>
      <c r="D8" s="1" t="str">
        <f>INDEX(MEDICOS!$A$3:$A$16,MATCH(CONSULTAS!C8,MEDICOS!$B$3:$B$16,0))</f>
        <v>DR NADIA</v>
      </c>
      <c r="E8" s="1" t="str">
        <f>INDEX(MEDICOS!$C$3:$C$16,MATCH(CONSULTAS!D8,MEDICOS!$A$3:$A$16,0))</f>
        <v>09h as 17h30</v>
      </c>
      <c r="F8" s="1" t="str">
        <f>INDEX(MEDICOS!$D$3:$D$16,MATCH(CONSULTAS!E8,MEDICOS!$C$3:$C$16,0))</f>
        <v>quarta</v>
      </c>
      <c r="H8" s="25" t="s">
        <v>134</v>
      </c>
      <c r="I8" s="25"/>
      <c r="J8" s="25"/>
      <c r="K8" s="25"/>
      <c r="L8" s="25"/>
    </row>
    <row r="9" spans="1:14">
      <c r="A9" s="1">
        <v>7</v>
      </c>
      <c r="B9" s="1" t="s">
        <v>88</v>
      </c>
      <c r="C9" s="1" t="s">
        <v>86</v>
      </c>
      <c r="D9" s="1" t="str">
        <f>INDEX(MEDICOS!$A$3:$A$16,MATCH(CONSULTAS!C9,MEDICOS!$B$3:$B$16,0))</f>
        <v>DR EDUARDO</v>
      </c>
      <c r="E9" s="1" t="str">
        <f>INDEX(MEDICOS!$C$3:$C$16,MATCH(CONSULTAS!D9,MEDICOS!$A$3:$A$16,0))</f>
        <v>08h as 18h</v>
      </c>
      <c r="F9" s="1" t="str">
        <f>INDEX(MEDICOS!$D$3:$D$16,MATCH(CONSULTAS!E9,MEDICOS!$C$3:$C$16,0))</f>
        <v>segunda</v>
      </c>
    </row>
    <row r="10" spans="1:14">
      <c r="A10" s="1">
        <v>8</v>
      </c>
      <c r="B10" s="1" t="s">
        <v>61</v>
      </c>
      <c r="C10" s="1" t="s">
        <v>84</v>
      </c>
      <c r="D10" s="1" t="str">
        <f>INDEX(MEDICOS!$A$3:$A$16,MATCH(CONSULTAS!C10,MEDICOS!$B$3:$B$16,0))</f>
        <v>DR TANIA</v>
      </c>
      <c r="E10" s="1" t="str">
        <f>INDEX(MEDICOS!$C$3:$C$16,MATCH(CONSULTAS!D10,MEDICOS!$A$3:$A$16,0))</f>
        <v>08h as 17h</v>
      </c>
      <c r="F10" s="1" t="str">
        <f>INDEX(MEDICOS!$D$3:$D$16,MATCH(CONSULTAS!E10,MEDICOS!$C$3:$C$16,0))</f>
        <v>terça</v>
      </c>
    </row>
    <row r="11" spans="1:14">
      <c r="A11" s="1">
        <v>9</v>
      </c>
      <c r="B11" s="1" t="s">
        <v>89</v>
      </c>
      <c r="C11" s="1" t="s">
        <v>124</v>
      </c>
      <c r="D11" s="1" t="str">
        <f>INDEX(MEDICOS!$A$3:$A$16,MATCH(CONSULTAS!C11,MEDICOS!$B$3:$B$16,0))</f>
        <v>DR JOAO</v>
      </c>
      <c r="E11" s="1" t="str">
        <f>INDEX(MEDICOS!$C$3:$C$16,MATCH(CONSULTAS!D11,MEDICOS!$A$3:$A$16,0))</f>
        <v>09h as 18h</v>
      </c>
      <c r="F11" s="1" t="str">
        <f>INDEX(MEDICOS!$D$3:$D$16,MATCH(CONSULTAS!E11,MEDICOS!$C$3:$C$16,0))</f>
        <v>segunda</v>
      </c>
    </row>
  </sheetData>
  <mergeCells count="4">
    <mergeCell ref="A1:F1"/>
    <mergeCell ref="H1:M1"/>
    <mergeCell ref="H3:N6"/>
    <mergeCell ref="H8:L8"/>
  </mergeCells>
  <dataValidations count="1">
    <dataValidation type="list" allowBlank="1" showInputMessage="1" showErrorMessage="1" sqref="C2">
      <formula1>$C$3:$C$11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MEDICOS!$B$3:$B$16</xm:f>
          </x14:formula1>
          <xm:sqref>C3:C11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INDICE_CORRESP 1</vt:lpstr>
      <vt:lpstr>INDICE+CORRESP 2</vt:lpstr>
      <vt:lpstr>INDICE + CORRESP 3</vt:lpstr>
      <vt:lpstr>MEDICOS</vt:lpstr>
      <vt:lpstr>CONSULTAS</vt:lpstr>
      <vt:lpstr>DADOS</vt:lpstr>
      <vt:lpstr>DATAS</vt:lpstr>
      <vt:lpstr>MOEDAS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Bruno</cp:lastModifiedBy>
  <dcterms:created xsi:type="dcterms:W3CDTF">2018-05-01T13:26:50Z</dcterms:created>
  <dcterms:modified xsi:type="dcterms:W3CDTF">2018-12-06T11:02:55Z</dcterms:modified>
</cp:coreProperties>
</file>