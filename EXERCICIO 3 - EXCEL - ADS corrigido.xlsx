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rede\Desktop\"/>
    </mc:Choice>
  </mc:AlternateContent>
  <bookViews>
    <workbookView xWindow="0" yWindow="0" windowWidth="192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D55" i="1" l="1"/>
  <c r="I51" i="1"/>
  <c r="H51" i="1"/>
  <c r="G51" i="1"/>
  <c r="F51" i="1"/>
  <c r="E51" i="1"/>
  <c r="D54" i="1"/>
  <c r="D53" i="1"/>
  <c r="F50" i="1"/>
  <c r="G50" i="1"/>
  <c r="H50" i="1"/>
  <c r="I50" i="1"/>
  <c r="E50" i="1"/>
  <c r="J6" i="1"/>
  <c r="J7" i="1"/>
  <c r="J8" i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E5" i="1"/>
  <c r="E37" i="1"/>
  <c r="E38" i="1"/>
  <c r="E39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E19" i="1"/>
  <c r="F19" i="1"/>
  <c r="G19" i="1"/>
  <c r="H19" i="1"/>
  <c r="I19" i="1"/>
  <c r="E20" i="1"/>
  <c r="F20" i="1"/>
  <c r="G20" i="1"/>
  <c r="H20" i="1"/>
  <c r="I20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I25" i="1"/>
  <c r="E26" i="1"/>
  <c r="F26" i="1"/>
  <c r="G26" i="1"/>
  <c r="H26" i="1"/>
  <c r="I26" i="1"/>
  <c r="E27" i="1"/>
  <c r="F27" i="1"/>
  <c r="G27" i="1"/>
  <c r="H27" i="1"/>
  <c r="I27" i="1"/>
  <c r="E28" i="1"/>
  <c r="F28" i="1"/>
  <c r="G28" i="1"/>
  <c r="H28" i="1"/>
  <c r="I28" i="1"/>
  <c r="E29" i="1"/>
  <c r="F29" i="1"/>
  <c r="G29" i="1"/>
  <c r="H29" i="1"/>
  <c r="I29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E35" i="1"/>
  <c r="F35" i="1"/>
  <c r="G35" i="1"/>
  <c r="H35" i="1"/>
  <c r="I35" i="1"/>
  <c r="E36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E40" i="1"/>
  <c r="F40" i="1"/>
  <c r="G40" i="1"/>
  <c r="H40" i="1"/>
  <c r="I40" i="1"/>
  <c r="E41" i="1"/>
  <c r="F41" i="1"/>
  <c r="G41" i="1"/>
  <c r="H41" i="1"/>
  <c r="I41" i="1"/>
  <c r="E42" i="1"/>
  <c r="F42" i="1"/>
  <c r="G42" i="1"/>
  <c r="H42" i="1"/>
  <c r="I42" i="1"/>
  <c r="E43" i="1"/>
  <c r="F43" i="1"/>
  <c r="G43" i="1"/>
  <c r="H43" i="1"/>
  <c r="I43" i="1"/>
  <c r="E44" i="1"/>
  <c r="F44" i="1"/>
  <c r="G44" i="1"/>
  <c r="H44" i="1"/>
  <c r="I44" i="1"/>
  <c r="E45" i="1"/>
  <c r="F45" i="1"/>
  <c r="G45" i="1"/>
  <c r="H45" i="1"/>
  <c r="I45" i="1"/>
  <c r="E46" i="1"/>
  <c r="F46" i="1"/>
  <c r="G46" i="1"/>
  <c r="H46" i="1"/>
  <c r="I46" i="1"/>
  <c r="E47" i="1"/>
  <c r="F47" i="1"/>
  <c r="G47" i="1"/>
  <c r="H47" i="1"/>
  <c r="I47" i="1"/>
  <c r="E48" i="1"/>
  <c r="F48" i="1"/>
  <c r="G48" i="1"/>
  <c r="H48" i="1"/>
  <c r="I48" i="1"/>
  <c r="I5" i="1"/>
  <c r="H5" i="1"/>
  <c r="G5" i="1"/>
  <c r="F5" i="1"/>
</calcChain>
</file>

<file path=xl/sharedStrings.xml><?xml version="1.0" encoding="utf-8"?>
<sst xmlns="http://schemas.openxmlformats.org/spreadsheetml/2006/main" count="68" uniqueCount="68">
  <si>
    <t>EMPRESA XYZ</t>
  </si>
  <si>
    <t>Tipo 01</t>
  </si>
  <si>
    <t>Tipo 02</t>
  </si>
  <si>
    <t>Tipo 03</t>
  </si>
  <si>
    <t>Tipo 04</t>
  </si>
  <si>
    <t>Tipo 05</t>
  </si>
  <si>
    <t>Data</t>
  </si>
  <si>
    <t>Descrição</t>
  </si>
  <si>
    <t>Tipo</t>
  </si>
  <si>
    <t>Valor</t>
  </si>
  <si>
    <t>Entradas.</t>
  </si>
  <si>
    <t xml:space="preserve"> Funcionários</t>
  </si>
  <si>
    <t>Fixos</t>
  </si>
  <si>
    <t>Pessoais</t>
  </si>
  <si>
    <t>Investimento</t>
  </si>
  <si>
    <t>Saldo</t>
  </si>
  <si>
    <t>Saldo Anterior</t>
  </si>
  <si>
    <t>MENSALIDADE ISABEL</t>
  </si>
  <si>
    <t>MENSALIDADE JOAQUIM</t>
  </si>
  <si>
    <t>MENSALIDADE VALQUIRIA</t>
  </si>
  <si>
    <t>IMPOSTO - Fundo de Garantia</t>
  </si>
  <si>
    <t>GASOLINA</t>
  </si>
  <si>
    <t>MENSALIDADE LEONARDO</t>
  </si>
  <si>
    <t>MENSALIDADE MARCIO</t>
  </si>
  <si>
    <t>MENSALIDADE CARLA</t>
  </si>
  <si>
    <t>PAGAMENTO SECRETARIA 1</t>
  </si>
  <si>
    <t>MÉDICO</t>
  </si>
  <si>
    <t>MENSALIDADE MARISA</t>
  </si>
  <si>
    <t>PAGTO DO PROFESSOR ADALTON</t>
  </si>
  <si>
    <t>PAGTO DO PROFESSOR MARCOS</t>
  </si>
  <si>
    <t>PAGAMENTO SECRETARIA 2</t>
  </si>
  <si>
    <t>PAGAMENTO SECRETARIA 3</t>
  </si>
  <si>
    <t>PAGAMENTO D/GUARDA NOT.</t>
  </si>
  <si>
    <t>COMPRA DE PRESENTE</t>
  </si>
  <si>
    <t>ALUGUEL DA ESCOLA</t>
  </si>
  <si>
    <t xml:space="preserve">CONTRIBUIÇÃO SOCIAL </t>
  </si>
  <si>
    <t>INSS</t>
  </si>
  <si>
    <t>SUPERMERCADO</t>
  </si>
  <si>
    <t>ALUGUEL D/TEL DA ESCOLA</t>
  </si>
  <si>
    <t>MENSALIDADE RENATA</t>
  </si>
  <si>
    <t>MENSALIDADE PATRICIA</t>
  </si>
  <si>
    <t>MENSALIDADE JONAS</t>
  </si>
  <si>
    <t xml:space="preserve"> PIS</t>
  </si>
  <si>
    <t>PREFEITURA</t>
  </si>
  <si>
    <t>ENCADERNAÇÃO</t>
  </si>
  <si>
    <t>IPVA CARRO</t>
  </si>
  <si>
    <t>MENSALIDADE JOEL</t>
  </si>
  <si>
    <t>MERCADO</t>
  </si>
  <si>
    <t>MENSALIDADE BENEDITA</t>
  </si>
  <si>
    <t>INFORMÁTICA EXAME REVIST.</t>
  </si>
  <si>
    <t>COMPRA DE COMPUTADOR P/ ESCOLA</t>
  </si>
  <si>
    <t>JANTAR RESTAURANTE</t>
  </si>
  <si>
    <t>CONSERTO ESPREMEDOR DE FRUTAS</t>
  </si>
  <si>
    <t>VENDA COMPUTADOR</t>
  </si>
  <si>
    <t>COMPRA DE CD's</t>
  </si>
  <si>
    <t>CONTA TELEFONE</t>
  </si>
  <si>
    <t>GASTOS ESCOLA</t>
  </si>
  <si>
    <t>DESPESAS C/ FARMACIA</t>
  </si>
  <si>
    <t>CONTA DE LUZ</t>
  </si>
  <si>
    <t>CONTRIBUIÇÃO SOCIAL</t>
  </si>
  <si>
    <t>ALMOCO RESTAURANTE</t>
  </si>
  <si>
    <t>TOTAL</t>
  </si>
  <si>
    <t>% Sobre Total</t>
  </si>
  <si>
    <t>TOTAL ENTRADAS</t>
  </si>
  <si>
    <t xml:space="preserve"> </t>
  </si>
  <si>
    <t>TOTAL SAIDAS</t>
  </si>
  <si>
    <t>SALDO</t>
  </si>
  <si>
    <t>Janeiro /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</si>
</sst>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* #,##0.00_-;\-&quot;R$&quot;* #,##0.00_-;_-&quot;R$&quot;* &quot;-&quot;??_-;_-@_-"/>
    <numFmt numFmtId="164" formatCode="dd"/>
    <numFmt numFmtId="165" formatCode="&quot;R$&quot;#,##0.00;[Red]&quot;R$&quot;\-#,##0.0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4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indexed="10"/>
      <name val="Arial"/>
      <family val="2"/>
    </font>
    <font>
      <b/>
      <sz val="10"/>
      <color indexed="10"/>
      <name val="Times New Roman"/>
      <family val="1"/>
    </font>
    <font>
      <sz val="10"/>
      <name val="Courier New"/>
      <family val="3"/>
    </font>
    <font>
      <sz val="10"/>
      <color indexed="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44" fontId="0" fillId="0" borderId="2" xfId="1" applyFont="1" applyBorder="1"/>
    <xf numFmtId="164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0" quotePrefix="1" applyNumberFormat="1" applyFont="1" applyBorder="1" applyAlignment="1">
      <alignment horizontal="center"/>
    </xf>
    <xf numFmtId="44" fontId="7" fillId="0" borderId="2" xfId="1" applyFont="1" applyBorder="1" applyAlignment="1">
      <alignment horizontal="center"/>
    </xf>
    <xf numFmtId="164" fontId="6" fillId="0" borderId="1" xfId="0" applyNumberFormat="1" applyFont="1" applyBorder="1"/>
    <xf numFmtId="164" fontId="6" fillId="2" borderId="1" xfId="0" applyNumberFormat="1" applyFont="1" applyFill="1" applyBorder="1"/>
    <xf numFmtId="0" fontId="6" fillId="2" borderId="1" xfId="0" applyFont="1" applyFill="1" applyBorder="1"/>
    <xf numFmtId="44" fontId="6" fillId="2" borderId="1" xfId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44" fontId="8" fillId="2" borderId="2" xfId="1" applyFont="1" applyFill="1" applyBorder="1"/>
    <xf numFmtId="0" fontId="6" fillId="0" borderId="1" xfId="0" applyFont="1" applyBorder="1"/>
    <xf numFmtId="44" fontId="6" fillId="0" borderId="1" xfId="1" applyFont="1" applyBorder="1"/>
    <xf numFmtId="165" fontId="7" fillId="0" borderId="1" xfId="0" applyNumberFormat="1" applyFont="1" applyBorder="1"/>
    <xf numFmtId="2" fontId="7" fillId="0" borderId="1" xfId="0" applyNumberFormat="1" applyFont="1" applyBorder="1"/>
    <xf numFmtId="44" fontId="8" fillId="0" borderId="2" xfId="1" applyFont="1" applyBorder="1"/>
    <xf numFmtId="44" fontId="6" fillId="0" borderId="1" xfId="1" applyFont="1" applyBorder="1" applyProtection="1"/>
    <xf numFmtId="16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4" fontId="2" fillId="0" borderId="1" xfId="1" applyFont="1" applyBorder="1"/>
    <xf numFmtId="2" fontId="6" fillId="0" borderId="1" xfId="0" quotePrefix="1" applyNumberFormat="1" applyFont="1" applyBorder="1" applyAlignment="1">
      <alignment horizontal="center"/>
    </xf>
    <xf numFmtId="166" fontId="7" fillId="0" borderId="1" xfId="0" applyNumberFormat="1" applyFont="1" applyBorder="1"/>
    <xf numFmtId="165" fontId="6" fillId="0" borderId="1" xfId="0" applyNumberFormat="1" applyFont="1" applyBorder="1"/>
    <xf numFmtId="44" fontId="2" fillId="0" borderId="3" xfId="1" applyFont="1" applyBorder="1"/>
    <xf numFmtId="0" fontId="6" fillId="0" borderId="1" xfId="0" applyFont="1" applyBorder="1" applyAlignment="1">
      <alignment horizontal="center"/>
    </xf>
    <xf numFmtId="44" fontId="8" fillId="0" borderId="1" xfId="1" applyFont="1" applyBorder="1"/>
    <xf numFmtId="164" fontId="10" fillId="0" borderId="1" xfId="0" applyNumberFormat="1" applyFont="1" applyBorder="1" applyAlignment="1">
      <alignment horizontal="right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/>
    <xf numFmtId="44" fontId="0" fillId="0" borderId="1" xfId="1" applyFont="1" applyBorder="1"/>
    <xf numFmtId="49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49" fontId="9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11" fillId="3" borderId="1" xfId="0" applyFont="1" applyFill="1" applyBorder="1"/>
    <xf numFmtId="165" fontId="8" fillId="0" borderId="1" xfId="1" applyNumberFormat="1" applyFont="1" applyBorder="1"/>
    <xf numFmtId="44" fontId="3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left"/>
    </xf>
    <xf numFmtId="165" fontId="10" fillId="0" borderId="3" xfId="0" applyNumberFormat="1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showZeros="0" tabSelected="1" topLeftCell="B1" zoomScale="140" zoomScaleNormal="140" workbookViewId="0">
      <selection activeCell="G8" sqref="G8"/>
    </sheetView>
  </sheetViews>
  <sheetFormatPr defaultRowHeight="15" x14ac:dyDescent="0.25"/>
  <cols>
    <col min="1" max="1" width="5.28515625" style="10" customWidth="1"/>
    <col min="2" max="2" width="31.7109375" style="17" customWidth="1"/>
    <col min="3" max="3" width="5.42578125" style="41" customWidth="1"/>
    <col min="4" max="4" width="13.85546875" style="18" customWidth="1"/>
    <col min="5" max="5" width="9.7109375" style="17" customWidth="1"/>
    <col min="6" max="6" width="10.28515625" style="17" customWidth="1"/>
    <col min="7" max="7" width="10" style="17" customWidth="1"/>
    <col min="8" max="8" width="8.85546875" style="17" customWidth="1"/>
    <col min="9" max="9" width="10.28515625" style="17" customWidth="1"/>
    <col min="10" max="10" width="15.140625" style="39" customWidth="1"/>
  </cols>
  <sheetData>
    <row r="1" spans="1:10" ht="19.5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1"/>
    </row>
    <row r="2" spans="1:10" x14ac:dyDescent="0.25">
      <c r="A2" s="2"/>
      <c r="B2" s="3" t="s">
        <v>67</v>
      </c>
      <c r="C2" s="40"/>
      <c r="D2" s="4"/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6"/>
    </row>
    <row r="3" spans="1:10" x14ac:dyDescent="0.25">
      <c r="A3" s="2" t="s">
        <v>6</v>
      </c>
      <c r="B3" s="5" t="s">
        <v>7</v>
      </c>
      <c r="C3" s="40" t="s">
        <v>8</v>
      </c>
      <c r="D3" s="4" t="s">
        <v>9</v>
      </c>
      <c r="E3" s="7" t="s">
        <v>10</v>
      </c>
      <c r="F3" s="8" t="s">
        <v>11</v>
      </c>
      <c r="G3" s="7" t="s">
        <v>12</v>
      </c>
      <c r="H3" s="7" t="s">
        <v>13</v>
      </c>
      <c r="I3" s="7" t="s">
        <v>14</v>
      </c>
      <c r="J3" s="9" t="s">
        <v>15</v>
      </c>
    </row>
    <row r="4" spans="1:10" x14ac:dyDescent="0.25">
      <c r="A4" s="10">
        <v>1</v>
      </c>
      <c r="B4" s="5" t="s">
        <v>16</v>
      </c>
      <c r="C4" s="40"/>
      <c r="D4" s="4"/>
      <c r="E4" s="7"/>
      <c r="F4" s="8"/>
      <c r="G4" s="7"/>
      <c r="H4" s="7"/>
      <c r="I4" s="7"/>
      <c r="J4" s="9">
        <v>50</v>
      </c>
    </row>
    <row r="5" spans="1:10" x14ac:dyDescent="0.25">
      <c r="A5" s="11">
        <v>4</v>
      </c>
      <c r="B5" s="12" t="s">
        <v>17</v>
      </c>
      <c r="C5" s="12">
        <v>1</v>
      </c>
      <c r="D5" s="13">
        <v>150</v>
      </c>
      <c r="E5" s="14">
        <f>IF(C5=1,D5,0)</f>
        <v>150</v>
      </c>
      <c r="F5" s="14">
        <f>IF(C5=2,D5,0)</f>
        <v>0</v>
      </c>
      <c r="G5" s="14">
        <f>IF(C5=3,D5,0)</f>
        <v>0</v>
      </c>
      <c r="H5" s="14">
        <f>IF(C5=4,D5,0)</f>
        <v>0</v>
      </c>
      <c r="I5" s="15">
        <f>IF(C5=5,D5,0)</f>
        <v>0</v>
      </c>
      <c r="J5" s="16">
        <f>J4+E5-F5-G5-H5-I5</f>
        <v>200</v>
      </c>
    </row>
    <row r="6" spans="1:10" x14ac:dyDescent="0.25">
      <c r="A6" s="10">
        <v>5</v>
      </c>
      <c r="B6" s="17" t="s">
        <v>18</v>
      </c>
      <c r="C6" s="41">
        <v>1</v>
      </c>
      <c r="D6" s="18">
        <v>69</v>
      </c>
      <c r="E6" s="14">
        <f t="shared" ref="E6:E48" si="0">IF(C6=1,D6,0)</f>
        <v>69</v>
      </c>
      <c r="F6" s="14">
        <f t="shared" ref="F6:F48" si="1">IF(C6=2,D6,0)</f>
        <v>0</v>
      </c>
      <c r="G6" s="14">
        <f t="shared" ref="G6:G48" si="2">IF(C6=3,D6,0)</f>
        <v>0</v>
      </c>
      <c r="H6" s="14">
        <f t="shared" ref="H6:H48" si="3">IF(C6=4,D6,0)</f>
        <v>0</v>
      </c>
      <c r="I6" s="15">
        <f t="shared" ref="I6:I48" si="4">IF(C6=5,D6,0)</f>
        <v>0</v>
      </c>
      <c r="J6" s="16">
        <f t="shared" ref="J6:J48" si="5">J5+E6-F6-G6-H6-I6</f>
        <v>269</v>
      </c>
    </row>
    <row r="7" spans="1:10" x14ac:dyDescent="0.25">
      <c r="A7" s="10">
        <v>5</v>
      </c>
      <c r="B7" s="17" t="s">
        <v>19</v>
      </c>
      <c r="C7" s="41">
        <v>1</v>
      </c>
      <c r="D7" s="22">
        <v>89</v>
      </c>
      <c r="E7" s="14">
        <f t="shared" si="0"/>
        <v>89</v>
      </c>
      <c r="F7" s="14">
        <f t="shared" si="1"/>
        <v>0</v>
      </c>
      <c r="G7" s="14">
        <f t="shared" si="2"/>
        <v>0</v>
      </c>
      <c r="H7" s="14">
        <f t="shared" si="3"/>
        <v>0</v>
      </c>
      <c r="I7" s="15">
        <f t="shared" si="4"/>
        <v>0</v>
      </c>
      <c r="J7" s="16">
        <f t="shared" si="5"/>
        <v>358</v>
      </c>
    </row>
    <row r="8" spans="1:10" x14ac:dyDescent="0.25">
      <c r="A8" s="10">
        <v>5</v>
      </c>
      <c r="B8" s="17" t="s">
        <v>20</v>
      </c>
      <c r="C8" s="41">
        <v>3</v>
      </c>
      <c r="D8" s="18">
        <v>22</v>
      </c>
      <c r="E8" s="14">
        <f t="shared" si="0"/>
        <v>0</v>
      </c>
      <c r="F8" s="14">
        <f t="shared" si="1"/>
        <v>0</v>
      </c>
      <c r="G8" s="14">
        <f t="shared" si="2"/>
        <v>22</v>
      </c>
      <c r="H8" s="14">
        <f t="shared" si="3"/>
        <v>0</v>
      </c>
      <c r="I8" s="15">
        <f t="shared" si="4"/>
        <v>0</v>
      </c>
      <c r="J8" s="16">
        <f t="shared" si="5"/>
        <v>336</v>
      </c>
    </row>
    <row r="9" spans="1:10" x14ac:dyDescent="0.25">
      <c r="A9" s="10">
        <v>5</v>
      </c>
      <c r="B9" s="17" t="s">
        <v>21</v>
      </c>
      <c r="C9" s="41">
        <v>4</v>
      </c>
      <c r="D9" s="18">
        <v>16</v>
      </c>
      <c r="E9" s="14">
        <f t="shared" si="0"/>
        <v>0</v>
      </c>
      <c r="F9" s="14">
        <f t="shared" si="1"/>
        <v>0</v>
      </c>
      <c r="G9" s="14">
        <f t="shared" si="2"/>
        <v>0</v>
      </c>
      <c r="H9" s="14">
        <f t="shared" si="3"/>
        <v>16</v>
      </c>
      <c r="I9" s="15">
        <f t="shared" si="4"/>
        <v>0</v>
      </c>
      <c r="J9" s="16">
        <f t="shared" si="5"/>
        <v>320</v>
      </c>
    </row>
    <row r="10" spans="1:10" x14ac:dyDescent="0.25">
      <c r="A10" s="10">
        <v>8</v>
      </c>
      <c r="B10" s="17" t="s">
        <v>22</v>
      </c>
      <c r="C10" s="41">
        <v>1</v>
      </c>
      <c r="D10" s="18">
        <v>79</v>
      </c>
      <c r="E10" s="14">
        <f t="shared" si="0"/>
        <v>79</v>
      </c>
      <c r="F10" s="14">
        <f t="shared" si="1"/>
        <v>0</v>
      </c>
      <c r="G10" s="14">
        <f t="shared" si="2"/>
        <v>0</v>
      </c>
      <c r="H10" s="14">
        <f t="shared" si="3"/>
        <v>0</v>
      </c>
      <c r="I10" s="15">
        <f t="shared" si="4"/>
        <v>0</v>
      </c>
      <c r="J10" s="16">
        <f t="shared" si="5"/>
        <v>399</v>
      </c>
    </row>
    <row r="11" spans="1:10" x14ac:dyDescent="0.25">
      <c r="A11" s="10">
        <v>8</v>
      </c>
      <c r="B11" s="17" t="s">
        <v>23</v>
      </c>
      <c r="C11" s="41">
        <v>1</v>
      </c>
      <c r="D11" s="18">
        <v>79</v>
      </c>
      <c r="E11" s="14">
        <f t="shared" si="0"/>
        <v>79</v>
      </c>
      <c r="F11" s="14">
        <f t="shared" si="1"/>
        <v>0</v>
      </c>
      <c r="G11" s="14">
        <f t="shared" si="2"/>
        <v>0</v>
      </c>
      <c r="H11" s="14">
        <f t="shared" si="3"/>
        <v>0</v>
      </c>
      <c r="I11" s="15">
        <f t="shared" si="4"/>
        <v>0</v>
      </c>
      <c r="J11" s="16">
        <f t="shared" si="5"/>
        <v>478</v>
      </c>
    </row>
    <row r="12" spans="1:10" x14ac:dyDescent="0.25">
      <c r="A12" s="10">
        <v>8</v>
      </c>
      <c r="B12" s="17" t="s">
        <v>24</v>
      </c>
      <c r="C12" s="41">
        <v>1</v>
      </c>
      <c r="D12" s="18">
        <v>150</v>
      </c>
      <c r="E12" s="14">
        <f t="shared" si="0"/>
        <v>150</v>
      </c>
      <c r="F12" s="14">
        <f t="shared" si="1"/>
        <v>0</v>
      </c>
      <c r="G12" s="14">
        <f t="shared" si="2"/>
        <v>0</v>
      </c>
      <c r="H12" s="14">
        <f t="shared" si="3"/>
        <v>0</v>
      </c>
      <c r="I12" s="15">
        <f t="shared" si="4"/>
        <v>0</v>
      </c>
      <c r="J12" s="16">
        <f t="shared" si="5"/>
        <v>628</v>
      </c>
    </row>
    <row r="13" spans="1:10" x14ac:dyDescent="0.25">
      <c r="A13" s="10">
        <v>8</v>
      </c>
      <c r="B13" s="17" t="s">
        <v>25</v>
      </c>
      <c r="C13" s="41">
        <v>2</v>
      </c>
      <c r="D13" s="18">
        <v>150</v>
      </c>
      <c r="E13" s="14">
        <f t="shared" si="0"/>
        <v>0</v>
      </c>
      <c r="F13" s="14">
        <f t="shared" si="1"/>
        <v>150</v>
      </c>
      <c r="G13" s="14">
        <f t="shared" si="2"/>
        <v>0</v>
      </c>
      <c r="H13" s="14">
        <f t="shared" si="3"/>
        <v>0</v>
      </c>
      <c r="I13" s="15">
        <f t="shared" si="4"/>
        <v>0</v>
      </c>
      <c r="J13" s="16">
        <f t="shared" si="5"/>
        <v>478</v>
      </c>
    </row>
    <row r="14" spans="1:10" x14ac:dyDescent="0.25">
      <c r="A14" s="10">
        <v>8</v>
      </c>
      <c r="B14" s="17" t="s">
        <v>26</v>
      </c>
      <c r="C14" s="41">
        <v>4</v>
      </c>
      <c r="D14" s="18">
        <v>65</v>
      </c>
      <c r="E14" s="14">
        <f t="shared" si="0"/>
        <v>0</v>
      </c>
      <c r="F14" s="14">
        <f t="shared" si="1"/>
        <v>0</v>
      </c>
      <c r="G14" s="14">
        <f t="shared" si="2"/>
        <v>0</v>
      </c>
      <c r="H14" s="14">
        <f t="shared" si="3"/>
        <v>65</v>
      </c>
      <c r="I14" s="15">
        <f t="shared" si="4"/>
        <v>0</v>
      </c>
      <c r="J14" s="16">
        <f t="shared" si="5"/>
        <v>413</v>
      </c>
    </row>
    <row r="15" spans="1:10" x14ac:dyDescent="0.25">
      <c r="A15" s="10">
        <v>9</v>
      </c>
      <c r="B15" s="17" t="s">
        <v>27</v>
      </c>
      <c r="C15" s="41">
        <v>1</v>
      </c>
      <c r="D15" s="18">
        <v>59</v>
      </c>
      <c r="E15" s="14">
        <f t="shared" si="0"/>
        <v>59</v>
      </c>
      <c r="F15" s="14">
        <f t="shared" si="1"/>
        <v>0</v>
      </c>
      <c r="G15" s="14">
        <f t="shared" si="2"/>
        <v>0</v>
      </c>
      <c r="H15" s="14">
        <f t="shared" si="3"/>
        <v>0</v>
      </c>
      <c r="I15" s="15">
        <f t="shared" si="4"/>
        <v>0</v>
      </c>
      <c r="J15" s="16">
        <f t="shared" si="5"/>
        <v>472</v>
      </c>
    </row>
    <row r="16" spans="1:10" x14ac:dyDescent="0.25">
      <c r="A16" s="10">
        <v>9</v>
      </c>
      <c r="B16" s="17" t="s">
        <v>28</v>
      </c>
      <c r="C16" s="41">
        <v>2</v>
      </c>
      <c r="D16" s="18">
        <v>480</v>
      </c>
      <c r="E16" s="14">
        <f t="shared" si="0"/>
        <v>0</v>
      </c>
      <c r="F16" s="14">
        <f t="shared" si="1"/>
        <v>480</v>
      </c>
      <c r="G16" s="14">
        <f t="shared" si="2"/>
        <v>0</v>
      </c>
      <c r="H16" s="14">
        <f t="shared" si="3"/>
        <v>0</v>
      </c>
      <c r="I16" s="15">
        <f t="shared" si="4"/>
        <v>0</v>
      </c>
      <c r="J16" s="16">
        <f t="shared" si="5"/>
        <v>-8</v>
      </c>
    </row>
    <row r="17" spans="1:10" x14ac:dyDescent="0.25">
      <c r="A17" s="10">
        <v>9</v>
      </c>
      <c r="B17" s="17" t="s">
        <v>29</v>
      </c>
      <c r="C17" s="41">
        <v>2</v>
      </c>
      <c r="D17" s="18">
        <v>50</v>
      </c>
      <c r="E17" s="14">
        <f t="shared" si="0"/>
        <v>0</v>
      </c>
      <c r="F17" s="14">
        <f t="shared" si="1"/>
        <v>50</v>
      </c>
      <c r="G17" s="14">
        <f t="shared" si="2"/>
        <v>0</v>
      </c>
      <c r="H17" s="14">
        <f t="shared" si="3"/>
        <v>0</v>
      </c>
      <c r="I17" s="15">
        <f t="shared" si="4"/>
        <v>0</v>
      </c>
      <c r="J17" s="16">
        <f t="shared" si="5"/>
        <v>-58</v>
      </c>
    </row>
    <row r="18" spans="1:10" x14ac:dyDescent="0.25">
      <c r="A18" s="10">
        <v>9</v>
      </c>
      <c r="B18" s="17" t="s">
        <v>30</v>
      </c>
      <c r="C18" s="41">
        <v>2</v>
      </c>
      <c r="D18" s="18">
        <v>130</v>
      </c>
      <c r="E18" s="14">
        <f t="shared" si="0"/>
        <v>0</v>
      </c>
      <c r="F18" s="14">
        <f t="shared" si="1"/>
        <v>130</v>
      </c>
      <c r="G18" s="14">
        <f t="shared" si="2"/>
        <v>0</v>
      </c>
      <c r="H18" s="14">
        <f t="shared" si="3"/>
        <v>0</v>
      </c>
      <c r="I18" s="15">
        <f t="shared" si="4"/>
        <v>0</v>
      </c>
      <c r="J18" s="16">
        <f t="shared" si="5"/>
        <v>-188</v>
      </c>
    </row>
    <row r="19" spans="1:10" x14ac:dyDescent="0.25">
      <c r="A19" s="10">
        <v>9</v>
      </c>
      <c r="B19" s="17" t="s">
        <v>31</v>
      </c>
      <c r="C19" s="41">
        <v>2</v>
      </c>
      <c r="D19" s="18">
        <v>80</v>
      </c>
      <c r="E19" s="14">
        <f t="shared" si="0"/>
        <v>0</v>
      </c>
      <c r="F19" s="14">
        <f t="shared" si="1"/>
        <v>80</v>
      </c>
      <c r="G19" s="14">
        <f t="shared" si="2"/>
        <v>0</v>
      </c>
      <c r="H19" s="14">
        <f t="shared" si="3"/>
        <v>0</v>
      </c>
      <c r="I19" s="15">
        <f t="shared" si="4"/>
        <v>0</v>
      </c>
      <c r="J19" s="16">
        <f t="shared" si="5"/>
        <v>-268</v>
      </c>
    </row>
    <row r="20" spans="1:10" x14ac:dyDescent="0.25">
      <c r="A20" s="10">
        <v>9</v>
      </c>
      <c r="B20" s="17" t="s">
        <v>32</v>
      </c>
      <c r="C20" s="41">
        <v>3</v>
      </c>
      <c r="D20" s="18">
        <v>10</v>
      </c>
      <c r="E20" s="14">
        <f t="shared" si="0"/>
        <v>0</v>
      </c>
      <c r="F20" s="14">
        <f t="shared" si="1"/>
        <v>0</v>
      </c>
      <c r="G20" s="14">
        <f t="shared" si="2"/>
        <v>10</v>
      </c>
      <c r="H20" s="14">
        <f t="shared" si="3"/>
        <v>0</v>
      </c>
      <c r="I20" s="15">
        <f t="shared" si="4"/>
        <v>0</v>
      </c>
      <c r="J20" s="16">
        <f t="shared" si="5"/>
        <v>-278</v>
      </c>
    </row>
    <row r="21" spans="1:10" x14ac:dyDescent="0.25">
      <c r="A21" s="10">
        <v>9</v>
      </c>
      <c r="B21" s="17" t="s">
        <v>33</v>
      </c>
      <c r="C21" s="41">
        <v>4</v>
      </c>
      <c r="D21" s="18">
        <v>67.8</v>
      </c>
      <c r="E21" s="14">
        <f t="shared" si="0"/>
        <v>0</v>
      </c>
      <c r="F21" s="14">
        <f t="shared" si="1"/>
        <v>0</v>
      </c>
      <c r="G21" s="14">
        <f t="shared" si="2"/>
        <v>0</v>
      </c>
      <c r="H21" s="14">
        <f t="shared" si="3"/>
        <v>67.8</v>
      </c>
      <c r="I21" s="15">
        <f t="shared" si="4"/>
        <v>0</v>
      </c>
      <c r="J21" s="16">
        <f t="shared" si="5"/>
        <v>-345.8</v>
      </c>
    </row>
    <row r="22" spans="1:10" x14ac:dyDescent="0.25">
      <c r="A22" s="10">
        <v>10</v>
      </c>
      <c r="B22" s="17" t="s">
        <v>34</v>
      </c>
      <c r="C22" s="41">
        <v>3</v>
      </c>
      <c r="D22" s="18">
        <v>600</v>
      </c>
      <c r="E22" s="14">
        <f t="shared" si="0"/>
        <v>0</v>
      </c>
      <c r="F22" s="14">
        <f t="shared" si="1"/>
        <v>0</v>
      </c>
      <c r="G22" s="14">
        <f t="shared" si="2"/>
        <v>600</v>
      </c>
      <c r="H22" s="14">
        <f t="shared" si="3"/>
        <v>0</v>
      </c>
      <c r="I22" s="15">
        <f t="shared" si="4"/>
        <v>0</v>
      </c>
      <c r="J22" s="16">
        <f t="shared" si="5"/>
        <v>-945.8</v>
      </c>
    </row>
    <row r="23" spans="1:10" x14ac:dyDescent="0.25">
      <c r="A23" s="10">
        <v>10</v>
      </c>
      <c r="B23" s="17" t="s">
        <v>35</v>
      </c>
      <c r="C23" s="41">
        <v>3</v>
      </c>
      <c r="D23" s="18">
        <v>29.7</v>
      </c>
      <c r="E23" s="14">
        <f t="shared" si="0"/>
        <v>0</v>
      </c>
      <c r="F23" s="14">
        <f t="shared" si="1"/>
        <v>0</v>
      </c>
      <c r="G23" s="14">
        <f t="shared" si="2"/>
        <v>29.7</v>
      </c>
      <c r="H23" s="14">
        <f t="shared" si="3"/>
        <v>0</v>
      </c>
      <c r="I23" s="15">
        <f t="shared" si="4"/>
        <v>0</v>
      </c>
      <c r="J23" s="16">
        <f t="shared" si="5"/>
        <v>-975.5</v>
      </c>
    </row>
    <row r="24" spans="1:10" x14ac:dyDescent="0.25">
      <c r="A24" s="10">
        <v>10</v>
      </c>
      <c r="B24" s="17" t="s">
        <v>36</v>
      </c>
      <c r="C24" s="41">
        <v>3</v>
      </c>
      <c r="D24" s="18">
        <v>10</v>
      </c>
      <c r="E24" s="14">
        <f t="shared" si="0"/>
        <v>0</v>
      </c>
      <c r="F24" s="14">
        <f t="shared" si="1"/>
        <v>0</v>
      </c>
      <c r="G24" s="14">
        <f t="shared" si="2"/>
        <v>10</v>
      </c>
      <c r="H24" s="14">
        <f t="shared" si="3"/>
        <v>0</v>
      </c>
      <c r="I24" s="15">
        <f t="shared" si="4"/>
        <v>0</v>
      </c>
      <c r="J24" s="16">
        <f t="shared" si="5"/>
        <v>-985.5</v>
      </c>
    </row>
    <row r="25" spans="1:10" x14ac:dyDescent="0.25">
      <c r="A25" s="10">
        <v>11</v>
      </c>
      <c r="B25" s="17" t="s">
        <v>37</v>
      </c>
      <c r="C25" s="41">
        <v>4</v>
      </c>
      <c r="D25" s="18">
        <v>55</v>
      </c>
      <c r="E25" s="14">
        <f t="shared" si="0"/>
        <v>0</v>
      </c>
      <c r="F25" s="14">
        <f t="shared" si="1"/>
        <v>0</v>
      </c>
      <c r="G25" s="14">
        <f t="shared" si="2"/>
        <v>0</v>
      </c>
      <c r="H25" s="14">
        <f t="shared" si="3"/>
        <v>55</v>
      </c>
      <c r="I25" s="15">
        <f t="shared" si="4"/>
        <v>0</v>
      </c>
      <c r="J25" s="16">
        <f t="shared" si="5"/>
        <v>-1040.5</v>
      </c>
    </row>
    <row r="26" spans="1:10" x14ac:dyDescent="0.25">
      <c r="A26" s="10">
        <v>12</v>
      </c>
      <c r="B26" s="17" t="s">
        <v>38</v>
      </c>
      <c r="C26" s="41">
        <v>3</v>
      </c>
      <c r="D26" s="18">
        <v>160</v>
      </c>
      <c r="E26" s="14">
        <f t="shared" si="0"/>
        <v>0</v>
      </c>
      <c r="F26" s="14">
        <f t="shared" si="1"/>
        <v>0</v>
      </c>
      <c r="G26" s="14">
        <f t="shared" si="2"/>
        <v>160</v>
      </c>
      <c r="H26" s="14">
        <f t="shared" si="3"/>
        <v>0</v>
      </c>
      <c r="I26" s="15">
        <f t="shared" si="4"/>
        <v>0</v>
      </c>
      <c r="J26" s="16">
        <f t="shared" si="5"/>
        <v>-1200.5</v>
      </c>
    </row>
    <row r="27" spans="1:10" x14ac:dyDescent="0.25">
      <c r="A27" s="10">
        <v>13</v>
      </c>
      <c r="B27" s="17" t="s">
        <v>39</v>
      </c>
      <c r="C27" s="41">
        <v>1</v>
      </c>
      <c r="D27" s="18">
        <v>150</v>
      </c>
      <c r="E27" s="14">
        <f t="shared" si="0"/>
        <v>150</v>
      </c>
      <c r="F27" s="14">
        <f t="shared" si="1"/>
        <v>0</v>
      </c>
      <c r="G27" s="14">
        <f t="shared" si="2"/>
        <v>0</v>
      </c>
      <c r="H27" s="14">
        <f t="shared" si="3"/>
        <v>0</v>
      </c>
      <c r="I27" s="15">
        <f t="shared" si="4"/>
        <v>0</v>
      </c>
      <c r="J27" s="16">
        <f t="shared" si="5"/>
        <v>-1050.5</v>
      </c>
    </row>
    <row r="28" spans="1:10" x14ac:dyDescent="0.25">
      <c r="A28" s="10">
        <v>15</v>
      </c>
      <c r="B28" s="17" t="s">
        <v>40</v>
      </c>
      <c r="C28" s="41">
        <v>1</v>
      </c>
      <c r="D28" s="18">
        <v>79</v>
      </c>
      <c r="E28" s="14">
        <f t="shared" si="0"/>
        <v>79</v>
      </c>
      <c r="F28" s="14">
        <f t="shared" si="1"/>
        <v>0</v>
      </c>
      <c r="G28" s="14">
        <f t="shared" si="2"/>
        <v>0</v>
      </c>
      <c r="H28" s="14">
        <f t="shared" si="3"/>
        <v>0</v>
      </c>
      <c r="I28" s="15">
        <f t="shared" si="4"/>
        <v>0</v>
      </c>
      <c r="J28" s="16">
        <f t="shared" si="5"/>
        <v>-971.5</v>
      </c>
    </row>
    <row r="29" spans="1:10" x14ac:dyDescent="0.25">
      <c r="A29" s="10">
        <v>15</v>
      </c>
      <c r="B29" s="17" t="s">
        <v>41</v>
      </c>
      <c r="C29" s="41">
        <v>1</v>
      </c>
      <c r="D29" s="18">
        <v>150</v>
      </c>
      <c r="E29" s="14">
        <f t="shared" si="0"/>
        <v>150</v>
      </c>
      <c r="F29" s="14">
        <f t="shared" si="1"/>
        <v>0</v>
      </c>
      <c r="G29" s="14">
        <f t="shared" si="2"/>
        <v>0</v>
      </c>
      <c r="H29" s="14">
        <f t="shared" si="3"/>
        <v>0</v>
      </c>
      <c r="I29" s="15">
        <f t="shared" si="4"/>
        <v>0</v>
      </c>
      <c r="J29" s="16">
        <f t="shared" si="5"/>
        <v>-821.5</v>
      </c>
    </row>
    <row r="30" spans="1:10" x14ac:dyDescent="0.25">
      <c r="A30" s="10">
        <v>15</v>
      </c>
      <c r="B30" s="17" t="s">
        <v>42</v>
      </c>
      <c r="C30" s="41">
        <v>3</v>
      </c>
      <c r="D30" s="18">
        <v>9.65</v>
      </c>
      <c r="E30" s="14">
        <f t="shared" si="0"/>
        <v>0</v>
      </c>
      <c r="F30" s="14">
        <f t="shared" si="1"/>
        <v>0</v>
      </c>
      <c r="G30" s="14">
        <f t="shared" si="2"/>
        <v>9.65</v>
      </c>
      <c r="H30" s="14">
        <f t="shared" si="3"/>
        <v>0</v>
      </c>
      <c r="I30" s="15">
        <f t="shared" si="4"/>
        <v>0</v>
      </c>
      <c r="J30" s="16">
        <f t="shared" si="5"/>
        <v>-831.15</v>
      </c>
    </row>
    <row r="31" spans="1:10" x14ac:dyDescent="0.25">
      <c r="A31" s="10">
        <v>15</v>
      </c>
      <c r="B31" s="17" t="s">
        <v>43</v>
      </c>
      <c r="C31" s="41">
        <v>3</v>
      </c>
      <c r="D31" s="18">
        <v>59.92</v>
      </c>
      <c r="E31" s="14">
        <f t="shared" si="0"/>
        <v>0</v>
      </c>
      <c r="F31" s="14">
        <f t="shared" si="1"/>
        <v>0</v>
      </c>
      <c r="G31" s="14">
        <f t="shared" si="2"/>
        <v>59.92</v>
      </c>
      <c r="H31" s="14">
        <f t="shared" si="3"/>
        <v>0</v>
      </c>
      <c r="I31" s="15">
        <f t="shared" si="4"/>
        <v>0</v>
      </c>
      <c r="J31" s="16">
        <f t="shared" si="5"/>
        <v>-891.06999999999994</v>
      </c>
    </row>
    <row r="32" spans="1:10" x14ac:dyDescent="0.25">
      <c r="A32" s="10">
        <v>15</v>
      </c>
      <c r="B32" s="17" t="s">
        <v>44</v>
      </c>
      <c r="C32" s="41">
        <v>3</v>
      </c>
      <c r="D32" s="18">
        <v>24</v>
      </c>
      <c r="E32" s="14">
        <f t="shared" si="0"/>
        <v>0</v>
      </c>
      <c r="F32" s="14">
        <f t="shared" si="1"/>
        <v>0</v>
      </c>
      <c r="G32" s="14">
        <f t="shared" si="2"/>
        <v>24</v>
      </c>
      <c r="H32" s="14">
        <f t="shared" si="3"/>
        <v>0</v>
      </c>
      <c r="I32" s="15">
        <f t="shared" si="4"/>
        <v>0</v>
      </c>
      <c r="J32" s="16">
        <f t="shared" si="5"/>
        <v>-915.06999999999994</v>
      </c>
    </row>
    <row r="33" spans="1:10" x14ac:dyDescent="0.25">
      <c r="A33" s="10">
        <v>15</v>
      </c>
      <c r="B33" s="17" t="s">
        <v>45</v>
      </c>
      <c r="C33" s="41">
        <v>4</v>
      </c>
      <c r="D33" s="18">
        <v>84.42</v>
      </c>
      <c r="E33" s="14">
        <f t="shared" si="0"/>
        <v>0</v>
      </c>
      <c r="F33" s="14">
        <f t="shared" si="1"/>
        <v>0</v>
      </c>
      <c r="G33" s="14">
        <f t="shared" si="2"/>
        <v>0</v>
      </c>
      <c r="H33" s="14">
        <f t="shared" si="3"/>
        <v>84.42</v>
      </c>
      <c r="I33" s="15">
        <f t="shared" si="4"/>
        <v>0</v>
      </c>
      <c r="J33" s="16">
        <f t="shared" si="5"/>
        <v>-999.4899999999999</v>
      </c>
    </row>
    <row r="34" spans="1:10" x14ac:dyDescent="0.25">
      <c r="A34" s="10">
        <v>16</v>
      </c>
      <c r="B34" s="17" t="s">
        <v>46</v>
      </c>
      <c r="C34" s="41">
        <v>1</v>
      </c>
      <c r="D34" s="18">
        <v>79</v>
      </c>
      <c r="E34" s="14">
        <f t="shared" si="0"/>
        <v>79</v>
      </c>
      <c r="F34" s="14">
        <f t="shared" si="1"/>
        <v>0</v>
      </c>
      <c r="G34" s="14">
        <f t="shared" si="2"/>
        <v>0</v>
      </c>
      <c r="H34" s="14">
        <f t="shared" si="3"/>
        <v>0</v>
      </c>
      <c r="I34" s="15">
        <f t="shared" si="4"/>
        <v>0</v>
      </c>
      <c r="J34" s="16">
        <f t="shared" si="5"/>
        <v>-920.4899999999999</v>
      </c>
    </row>
    <row r="35" spans="1:10" x14ac:dyDescent="0.25">
      <c r="A35" s="10">
        <v>16</v>
      </c>
      <c r="B35" s="17" t="s">
        <v>47</v>
      </c>
      <c r="C35" s="41">
        <v>4</v>
      </c>
      <c r="D35" s="18">
        <v>50</v>
      </c>
      <c r="E35" s="14">
        <f t="shared" si="0"/>
        <v>0</v>
      </c>
      <c r="F35" s="14">
        <f t="shared" si="1"/>
        <v>0</v>
      </c>
      <c r="G35" s="14">
        <f t="shared" si="2"/>
        <v>0</v>
      </c>
      <c r="H35" s="14">
        <f t="shared" si="3"/>
        <v>50</v>
      </c>
      <c r="I35" s="15">
        <f t="shared" si="4"/>
        <v>0</v>
      </c>
      <c r="J35" s="16">
        <f t="shared" si="5"/>
        <v>-970.4899999999999</v>
      </c>
    </row>
    <row r="36" spans="1:10" x14ac:dyDescent="0.25">
      <c r="A36" s="10">
        <v>17</v>
      </c>
      <c r="B36" s="17" t="s">
        <v>48</v>
      </c>
      <c r="C36" s="41">
        <v>1</v>
      </c>
      <c r="D36" s="18">
        <v>69</v>
      </c>
      <c r="E36" s="14">
        <f t="shared" si="0"/>
        <v>69</v>
      </c>
      <c r="F36" s="14">
        <f t="shared" si="1"/>
        <v>0</v>
      </c>
      <c r="G36" s="14">
        <f t="shared" si="2"/>
        <v>0</v>
      </c>
      <c r="H36" s="14">
        <f t="shared" si="3"/>
        <v>0</v>
      </c>
      <c r="I36" s="15">
        <f t="shared" si="4"/>
        <v>0</v>
      </c>
      <c r="J36" s="16">
        <f t="shared" si="5"/>
        <v>-901.4899999999999</v>
      </c>
    </row>
    <row r="37" spans="1:10" x14ac:dyDescent="0.25">
      <c r="A37" s="10">
        <v>19</v>
      </c>
      <c r="B37" s="17" t="s">
        <v>49</v>
      </c>
      <c r="C37" s="41">
        <v>3</v>
      </c>
      <c r="D37" s="18">
        <v>11.2</v>
      </c>
      <c r="E37" s="14">
        <f t="shared" si="0"/>
        <v>0</v>
      </c>
      <c r="F37" s="14">
        <f t="shared" si="1"/>
        <v>0</v>
      </c>
      <c r="G37" s="14">
        <f t="shared" si="2"/>
        <v>11.2</v>
      </c>
      <c r="H37" s="14">
        <f t="shared" si="3"/>
        <v>0</v>
      </c>
      <c r="I37" s="15">
        <f t="shared" si="4"/>
        <v>0</v>
      </c>
      <c r="J37" s="16">
        <f t="shared" si="5"/>
        <v>-912.68999999999994</v>
      </c>
    </row>
    <row r="38" spans="1:10" x14ac:dyDescent="0.25">
      <c r="A38" s="10">
        <v>19</v>
      </c>
      <c r="B38" s="17" t="s">
        <v>50</v>
      </c>
      <c r="C38" s="41">
        <v>5</v>
      </c>
      <c r="D38" s="18">
        <v>2400</v>
      </c>
      <c r="E38" s="14">
        <f t="shared" si="0"/>
        <v>0</v>
      </c>
      <c r="F38" s="14">
        <f t="shared" si="1"/>
        <v>0</v>
      </c>
      <c r="G38" s="14">
        <f t="shared" si="2"/>
        <v>0</v>
      </c>
      <c r="H38" s="14">
        <f t="shared" si="3"/>
        <v>0</v>
      </c>
      <c r="I38" s="15">
        <f t="shared" si="4"/>
        <v>2400</v>
      </c>
      <c r="J38" s="16">
        <f t="shared" si="5"/>
        <v>-3312.69</v>
      </c>
    </row>
    <row r="39" spans="1:10" x14ac:dyDescent="0.25">
      <c r="A39" s="10">
        <v>20</v>
      </c>
      <c r="B39" s="17" t="s">
        <v>51</v>
      </c>
      <c r="C39" s="41">
        <v>4</v>
      </c>
      <c r="D39" s="18">
        <v>35</v>
      </c>
      <c r="E39" s="14">
        <f t="shared" si="0"/>
        <v>0</v>
      </c>
      <c r="F39" s="14">
        <f t="shared" si="1"/>
        <v>0</v>
      </c>
      <c r="G39" s="14">
        <f t="shared" si="2"/>
        <v>0</v>
      </c>
      <c r="H39" s="14">
        <f t="shared" si="3"/>
        <v>35</v>
      </c>
      <c r="I39" s="15">
        <f t="shared" si="4"/>
        <v>0</v>
      </c>
      <c r="J39" s="16">
        <f t="shared" si="5"/>
        <v>-3347.69</v>
      </c>
    </row>
    <row r="40" spans="1:10" x14ac:dyDescent="0.25">
      <c r="A40" s="10">
        <v>20</v>
      </c>
      <c r="B40" s="17" t="s">
        <v>52</v>
      </c>
      <c r="C40" s="41">
        <v>4</v>
      </c>
      <c r="D40" s="18">
        <v>11.5</v>
      </c>
      <c r="E40" s="14">
        <f t="shared" si="0"/>
        <v>0</v>
      </c>
      <c r="F40" s="14">
        <f t="shared" si="1"/>
        <v>0</v>
      </c>
      <c r="G40" s="14">
        <f t="shared" si="2"/>
        <v>0</v>
      </c>
      <c r="H40" s="14">
        <f t="shared" si="3"/>
        <v>11.5</v>
      </c>
      <c r="I40" s="15">
        <f t="shared" si="4"/>
        <v>0</v>
      </c>
      <c r="J40" s="16">
        <f t="shared" si="5"/>
        <v>-3359.19</v>
      </c>
    </row>
    <row r="41" spans="1:10" x14ac:dyDescent="0.25">
      <c r="A41" s="10">
        <v>22</v>
      </c>
      <c r="B41" s="17" t="s">
        <v>53</v>
      </c>
      <c r="C41" s="41">
        <v>1</v>
      </c>
      <c r="D41" s="18">
        <v>1500</v>
      </c>
      <c r="E41" s="14">
        <f t="shared" si="0"/>
        <v>1500</v>
      </c>
      <c r="F41" s="14">
        <f t="shared" si="1"/>
        <v>0</v>
      </c>
      <c r="G41" s="14">
        <f t="shared" si="2"/>
        <v>0</v>
      </c>
      <c r="H41" s="14">
        <f t="shared" si="3"/>
        <v>0</v>
      </c>
      <c r="I41" s="15">
        <f t="shared" si="4"/>
        <v>0</v>
      </c>
      <c r="J41" s="16">
        <f t="shared" si="5"/>
        <v>-1859.19</v>
      </c>
    </row>
    <row r="42" spans="1:10" x14ac:dyDescent="0.25">
      <c r="A42" s="10">
        <v>22</v>
      </c>
      <c r="B42" s="17" t="s">
        <v>54</v>
      </c>
      <c r="C42" s="41">
        <v>4</v>
      </c>
      <c r="D42" s="18">
        <v>19.8</v>
      </c>
      <c r="E42" s="14">
        <f t="shared" si="0"/>
        <v>0</v>
      </c>
      <c r="F42" s="14">
        <f t="shared" si="1"/>
        <v>0</v>
      </c>
      <c r="G42" s="14">
        <f t="shared" si="2"/>
        <v>0</v>
      </c>
      <c r="H42" s="14">
        <f t="shared" si="3"/>
        <v>19.8</v>
      </c>
      <c r="I42" s="15">
        <f t="shared" si="4"/>
        <v>0</v>
      </c>
      <c r="J42" s="16">
        <f t="shared" si="5"/>
        <v>-1878.99</v>
      </c>
    </row>
    <row r="43" spans="1:10" x14ac:dyDescent="0.25">
      <c r="A43" s="10">
        <v>23</v>
      </c>
      <c r="B43" s="17" t="s">
        <v>55</v>
      </c>
      <c r="C43" s="41">
        <v>3</v>
      </c>
      <c r="D43" s="18">
        <v>43.27</v>
      </c>
      <c r="E43" s="14">
        <f t="shared" si="0"/>
        <v>0</v>
      </c>
      <c r="F43" s="14">
        <f t="shared" si="1"/>
        <v>0</v>
      </c>
      <c r="G43" s="14">
        <f t="shared" si="2"/>
        <v>43.27</v>
      </c>
      <c r="H43" s="14">
        <f t="shared" si="3"/>
        <v>0</v>
      </c>
      <c r="I43" s="15">
        <f t="shared" si="4"/>
        <v>0</v>
      </c>
      <c r="J43" s="16">
        <f t="shared" si="5"/>
        <v>-1922.26</v>
      </c>
    </row>
    <row r="44" spans="1:10" x14ac:dyDescent="0.25">
      <c r="A44" s="10">
        <v>23</v>
      </c>
      <c r="B44" s="17" t="s">
        <v>56</v>
      </c>
      <c r="C44" s="41">
        <v>3</v>
      </c>
      <c r="D44" s="18">
        <v>17.5</v>
      </c>
      <c r="E44" s="14">
        <f t="shared" si="0"/>
        <v>0</v>
      </c>
      <c r="F44" s="14">
        <f t="shared" si="1"/>
        <v>0</v>
      </c>
      <c r="G44" s="14">
        <f t="shared" si="2"/>
        <v>17.5</v>
      </c>
      <c r="H44" s="14">
        <f t="shared" si="3"/>
        <v>0</v>
      </c>
      <c r="I44" s="15">
        <f t="shared" si="4"/>
        <v>0</v>
      </c>
      <c r="J44" s="16">
        <f t="shared" si="5"/>
        <v>-1939.76</v>
      </c>
    </row>
    <row r="45" spans="1:10" x14ac:dyDescent="0.25">
      <c r="A45" s="10">
        <v>23</v>
      </c>
      <c r="B45" s="17" t="s">
        <v>57</v>
      </c>
      <c r="C45" s="41">
        <v>4</v>
      </c>
      <c r="D45" s="18">
        <v>10.8</v>
      </c>
      <c r="E45" s="14">
        <f t="shared" si="0"/>
        <v>0</v>
      </c>
      <c r="F45" s="14">
        <f t="shared" si="1"/>
        <v>0</v>
      </c>
      <c r="G45" s="14">
        <f t="shared" si="2"/>
        <v>0</v>
      </c>
      <c r="H45" s="14">
        <f t="shared" si="3"/>
        <v>10.8</v>
      </c>
      <c r="I45" s="15">
        <f t="shared" si="4"/>
        <v>0</v>
      </c>
      <c r="J45" s="16">
        <f t="shared" si="5"/>
        <v>-1950.56</v>
      </c>
    </row>
    <row r="46" spans="1:10" x14ac:dyDescent="0.25">
      <c r="A46" s="10">
        <v>26</v>
      </c>
      <c r="B46" s="17" t="s">
        <v>58</v>
      </c>
      <c r="C46" s="41">
        <v>3</v>
      </c>
      <c r="D46" s="18">
        <v>40.799999999999997</v>
      </c>
      <c r="E46" s="14">
        <f t="shared" si="0"/>
        <v>0</v>
      </c>
      <c r="F46" s="14">
        <f t="shared" si="1"/>
        <v>0</v>
      </c>
      <c r="G46" s="14">
        <f t="shared" si="2"/>
        <v>40.799999999999997</v>
      </c>
      <c r="H46" s="14">
        <f t="shared" si="3"/>
        <v>0</v>
      </c>
      <c r="I46" s="15">
        <f t="shared" si="4"/>
        <v>0</v>
      </c>
      <c r="J46" s="16">
        <f t="shared" si="5"/>
        <v>-1991.36</v>
      </c>
    </row>
    <row r="47" spans="1:10" x14ac:dyDescent="0.25">
      <c r="A47" s="10">
        <v>27</v>
      </c>
      <c r="B47" s="17" t="s">
        <v>59</v>
      </c>
      <c r="C47" s="41">
        <v>3</v>
      </c>
      <c r="D47" s="18">
        <v>16.82</v>
      </c>
      <c r="E47" s="14">
        <f t="shared" si="0"/>
        <v>0</v>
      </c>
      <c r="F47" s="14">
        <f t="shared" si="1"/>
        <v>0</v>
      </c>
      <c r="G47" s="14">
        <f t="shared" si="2"/>
        <v>16.82</v>
      </c>
      <c r="H47" s="14">
        <f t="shared" si="3"/>
        <v>0</v>
      </c>
      <c r="I47" s="15">
        <f t="shared" si="4"/>
        <v>0</v>
      </c>
      <c r="J47" s="16">
        <f t="shared" si="5"/>
        <v>-2008.1799999999998</v>
      </c>
    </row>
    <row r="48" spans="1:10" x14ac:dyDescent="0.25">
      <c r="A48" s="10">
        <v>29</v>
      </c>
      <c r="B48" s="17" t="s">
        <v>60</v>
      </c>
      <c r="C48" s="41">
        <v>4</v>
      </c>
      <c r="D48" s="18">
        <v>27.09</v>
      </c>
      <c r="E48" s="14">
        <f t="shared" si="0"/>
        <v>0</v>
      </c>
      <c r="F48" s="14">
        <f t="shared" si="1"/>
        <v>0</v>
      </c>
      <c r="G48" s="14">
        <f t="shared" si="2"/>
        <v>0</v>
      </c>
      <c r="H48" s="14">
        <f t="shared" si="3"/>
        <v>27.09</v>
      </c>
      <c r="I48" s="15">
        <f t="shared" si="4"/>
        <v>0</v>
      </c>
      <c r="J48" s="16">
        <f t="shared" si="5"/>
        <v>-2035.2699999999998</v>
      </c>
    </row>
    <row r="49" spans="1:10" x14ac:dyDescent="0.25">
      <c r="A49" s="23"/>
      <c r="B49" s="24"/>
      <c r="C49" s="42"/>
      <c r="D49" s="25"/>
      <c r="E49" s="26"/>
      <c r="F49" s="19"/>
      <c r="G49" s="19"/>
      <c r="H49" s="19"/>
      <c r="I49" s="20"/>
      <c r="J49" s="21"/>
    </row>
    <row r="50" spans="1:10" x14ac:dyDescent="0.25">
      <c r="B50" s="27" t="s">
        <v>61</v>
      </c>
      <c r="C50" s="43"/>
      <c r="D50" s="28"/>
      <c r="E50" s="19">
        <f>SUM(E5:E49)</f>
        <v>2702</v>
      </c>
      <c r="F50" s="19">
        <f t="shared" ref="F50:I50" si="6">SUM(F5:F49)</f>
        <v>890</v>
      </c>
      <c r="G50" s="19">
        <f t="shared" si="6"/>
        <v>1054.8599999999999</v>
      </c>
      <c r="H50" s="19">
        <f t="shared" si="6"/>
        <v>442.41</v>
      </c>
      <c r="I50" s="19">
        <f t="shared" si="6"/>
        <v>2400</v>
      </c>
      <c r="J50" s="21"/>
    </row>
    <row r="51" spans="1:10" x14ac:dyDescent="0.25">
      <c r="B51" s="29" t="s">
        <v>62</v>
      </c>
      <c r="C51" s="43"/>
      <c r="D51" s="28"/>
      <c r="E51" s="30">
        <f>E50/D53</f>
        <v>1</v>
      </c>
      <c r="F51" s="30">
        <f>F50/D54</f>
        <v>0.18590971472258719</v>
      </c>
      <c r="G51" s="30">
        <f>G50/D54</f>
        <v>0.22034687828344751</v>
      </c>
      <c r="H51" s="30">
        <f>H50/D54</f>
        <v>9.2413839202718881E-2</v>
      </c>
      <c r="I51" s="30">
        <f>I50/D54</f>
        <v>0.50132956779124638</v>
      </c>
      <c r="J51" s="21"/>
    </row>
    <row r="52" spans="1:10" x14ac:dyDescent="0.25">
      <c r="E52" s="31"/>
      <c r="F52" s="31"/>
      <c r="G52" s="31"/>
      <c r="H52" s="31"/>
      <c r="J52" s="32"/>
    </row>
    <row r="53" spans="1:10" x14ac:dyDescent="0.25">
      <c r="B53" s="33" t="s">
        <v>63</v>
      </c>
      <c r="C53" s="43"/>
      <c r="D53" s="45">
        <f>E50</f>
        <v>2702</v>
      </c>
      <c r="E53" s="31" t="s">
        <v>64</v>
      </c>
      <c r="F53" s="35"/>
      <c r="G53" s="36"/>
      <c r="I53" s="18"/>
      <c r="J53" s="32"/>
    </row>
    <row r="54" spans="1:10" x14ac:dyDescent="0.25">
      <c r="B54" s="33" t="s">
        <v>65</v>
      </c>
      <c r="C54" s="43"/>
      <c r="D54" s="45">
        <f>SUM(F50:I50)</f>
        <v>4787.2700000000004</v>
      </c>
      <c r="E54" s="31"/>
      <c r="F54" s="37"/>
      <c r="G54" s="38"/>
      <c r="H54" s="38"/>
      <c r="I54" s="36"/>
      <c r="J54" s="32"/>
    </row>
    <row r="55" spans="1:10" x14ac:dyDescent="0.25">
      <c r="B55" s="33" t="s">
        <v>66</v>
      </c>
      <c r="C55" s="44"/>
      <c r="D55" s="34">
        <f>D53-D54</f>
        <v>-2085.2700000000004</v>
      </c>
      <c r="E55" s="31"/>
      <c r="F55" s="37"/>
      <c r="G55" s="48"/>
      <c r="H55" s="48"/>
      <c r="I55" s="48"/>
      <c r="J55" s="49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A109"/>
      <c r="B109"/>
      <c r="C109"/>
      <c r="D109"/>
      <c r="E109"/>
      <c r="F109"/>
      <c r="G109"/>
      <c r="H109"/>
      <c r="I109"/>
      <c r="J109"/>
    </row>
    <row r="110" spans="1:10" x14ac:dyDescent="0.25">
      <c r="A110"/>
      <c r="B110"/>
      <c r="C110"/>
      <c r="D110"/>
      <c r="E110"/>
      <c r="F110"/>
      <c r="G110"/>
      <c r="H110"/>
      <c r="I110"/>
      <c r="J110"/>
    </row>
    <row r="111" spans="1:10" x14ac:dyDescent="0.25">
      <c r="A111"/>
      <c r="B111"/>
      <c r="C111"/>
      <c r="D111"/>
      <c r="E111"/>
      <c r="F111"/>
      <c r="G111"/>
      <c r="H111"/>
      <c r="I111"/>
      <c r="J111"/>
    </row>
    <row r="112" spans="1:10" x14ac:dyDescent="0.25">
      <c r="A112"/>
      <c r="B112"/>
      <c r="C112"/>
      <c r="D112"/>
      <c r="E112"/>
      <c r="F112"/>
      <c r="G112"/>
      <c r="H112"/>
      <c r="I112"/>
      <c r="J112"/>
    </row>
    <row r="113" spans="1:10" x14ac:dyDescent="0.25">
      <c r="A113"/>
      <c r="B113"/>
      <c r="C113"/>
      <c r="D113"/>
      <c r="E113"/>
      <c r="F113"/>
      <c r="G113"/>
      <c r="H113"/>
      <c r="I113"/>
      <c r="J113"/>
    </row>
    <row r="114" spans="1:10" x14ac:dyDescent="0.25">
      <c r="A114"/>
      <c r="B114"/>
      <c r="C114"/>
      <c r="D114"/>
      <c r="E114"/>
      <c r="F114"/>
      <c r="G114"/>
      <c r="H114"/>
      <c r="I114"/>
      <c r="J114"/>
    </row>
    <row r="115" spans="1:10" x14ac:dyDescent="0.25">
      <c r="A115"/>
      <c r="B115"/>
      <c r="C115"/>
      <c r="D115"/>
      <c r="E115"/>
      <c r="F115"/>
      <c r="G115"/>
      <c r="H115"/>
      <c r="I115"/>
      <c r="J115"/>
    </row>
    <row r="116" spans="1:10" x14ac:dyDescent="0.25">
      <c r="A116"/>
      <c r="B116"/>
      <c r="C116"/>
      <c r="D116"/>
      <c r="E116"/>
      <c r="F116"/>
      <c r="G116"/>
      <c r="H116"/>
      <c r="I116"/>
      <c r="J116"/>
    </row>
    <row r="117" spans="1:10" x14ac:dyDescent="0.25">
      <c r="A117"/>
      <c r="B117"/>
      <c r="C117"/>
      <c r="D117"/>
      <c r="E117"/>
      <c r="F117"/>
      <c r="G117"/>
      <c r="H117"/>
      <c r="I117"/>
      <c r="J117"/>
    </row>
    <row r="118" spans="1:10" x14ac:dyDescent="0.25">
      <c r="A118"/>
      <c r="B118"/>
      <c r="C118"/>
      <c r="D118"/>
      <c r="E118"/>
      <c r="F118"/>
      <c r="G118"/>
      <c r="H118"/>
      <c r="I118"/>
      <c r="J118"/>
    </row>
    <row r="119" spans="1:10" x14ac:dyDescent="0.25">
      <c r="A119"/>
      <c r="B119"/>
      <c r="C119"/>
      <c r="D119"/>
      <c r="E119"/>
      <c r="F119"/>
      <c r="G119"/>
      <c r="H119"/>
      <c r="I119"/>
      <c r="J119"/>
    </row>
    <row r="120" spans="1:10" x14ac:dyDescent="0.25">
      <c r="A120"/>
      <c r="B120"/>
      <c r="C120"/>
      <c r="D120"/>
      <c r="E120"/>
      <c r="F120"/>
      <c r="G120"/>
      <c r="H120"/>
      <c r="I120"/>
      <c r="J120"/>
    </row>
    <row r="121" spans="1:10" x14ac:dyDescent="0.25">
      <c r="A121"/>
      <c r="B121"/>
      <c r="C121"/>
      <c r="D121"/>
      <c r="E121"/>
      <c r="F121"/>
      <c r="G121"/>
      <c r="H121"/>
      <c r="I121"/>
      <c r="J121"/>
    </row>
    <row r="122" spans="1:10" x14ac:dyDescent="0.25">
      <c r="A122"/>
      <c r="B122"/>
      <c r="C122"/>
      <c r="D122"/>
      <c r="E122"/>
      <c r="F122"/>
      <c r="G122"/>
      <c r="H122"/>
      <c r="I122"/>
      <c r="J122"/>
    </row>
    <row r="123" spans="1:10" x14ac:dyDescent="0.25">
      <c r="A123"/>
      <c r="B123"/>
      <c r="C123"/>
      <c r="D123"/>
      <c r="E123"/>
      <c r="F123"/>
      <c r="G123"/>
      <c r="H123"/>
      <c r="I123"/>
      <c r="J123"/>
    </row>
    <row r="124" spans="1:10" x14ac:dyDescent="0.25">
      <c r="A124"/>
      <c r="B124"/>
      <c r="C124"/>
      <c r="D124"/>
      <c r="E124"/>
      <c r="F124"/>
      <c r="G124"/>
      <c r="H124"/>
      <c r="I124"/>
      <c r="J124"/>
    </row>
    <row r="125" spans="1:10" x14ac:dyDescent="0.25">
      <c r="A125"/>
      <c r="B125"/>
      <c r="C125"/>
      <c r="D125"/>
      <c r="E125"/>
      <c r="F125"/>
      <c r="G125"/>
      <c r="H125"/>
      <c r="I125"/>
      <c r="J125"/>
    </row>
    <row r="126" spans="1:10" x14ac:dyDescent="0.25">
      <c r="A126"/>
      <c r="B126"/>
      <c r="C126"/>
      <c r="D126"/>
      <c r="E126"/>
      <c r="F126"/>
      <c r="G126"/>
      <c r="H126"/>
      <c r="I126"/>
      <c r="J126"/>
    </row>
    <row r="127" spans="1:10" x14ac:dyDescent="0.25">
      <c r="A127"/>
      <c r="B127"/>
      <c r="C127"/>
      <c r="D127"/>
      <c r="E127"/>
      <c r="F127"/>
      <c r="G127"/>
      <c r="H127"/>
      <c r="I127"/>
      <c r="J127"/>
    </row>
    <row r="128" spans="1:10" x14ac:dyDescent="0.25">
      <c r="A128"/>
      <c r="B128"/>
      <c r="C128"/>
      <c r="D128"/>
      <c r="E128"/>
      <c r="F128"/>
      <c r="G128"/>
      <c r="H128"/>
      <c r="I128"/>
      <c r="J128"/>
    </row>
    <row r="129" spans="1:10" x14ac:dyDescent="0.25">
      <c r="A129"/>
      <c r="B129"/>
      <c r="C129"/>
      <c r="D129"/>
      <c r="E129"/>
      <c r="F129"/>
      <c r="G129"/>
      <c r="H129"/>
      <c r="I129"/>
      <c r="J129"/>
    </row>
    <row r="130" spans="1:10" x14ac:dyDescent="0.25">
      <c r="A130"/>
      <c r="B130"/>
      <c r="C130"/>
      <c r="D130"/>
      <c r="E130"/>
      <c r="F130"/>
      <c r="G130"/>
      <c r="H130"/>
      <c r="I130"/>
      <c r="J130"/>
    </row>
    <row r="131" spans="1:10" x14ac:dyDescent="0.25">
      <c r="A131"/>
      <c r="B131"/>
      <c r="C131"/>
      <c r="D131"/>
      <c r="E131"/>
      <c r="F131"/>
      <c r="G131"/>
      <c r="H131"/>
      <c r="I131"/>
      <c r="J131"/>
    </row>
    <row r="132" spans="1:10" x14ac:dyDescent="0.25">
      <c r="A132"/>
      <c r="B132"/>
      <c r="C132"/>
      <c r="D132"/>
      <c r="E132"/>
      <c r="F132"/>
      <c r="G132"/>
      <c r="H132"/>
      <c r="I132"/>
      <c r="J132"/>
    </row>
    <row r="133" spans="1:10" x14ac:dyDescent="0.25">
      <c r="A133"/>
      <c r="B133"/>
      <c r="C133"/>
      <c r="D133"/>
      <c r="E133"/>
      <c r="F133"/>
      <c r="G133"/>
      <c r="H133"/>
      <c r="I133"/>
      <c r="J133"/>
    </row>
    <row r="134" spans="1:10" x14ac:dyDescent="0.25">
      <c r="A134"/>
      <c r="B134"/>
      <c r="C134"/>
      <c r="D134"/>
      <c r="E134"/>
      <c r="F134"/>
      <c r="G134"/>
      <c r="H134"/>
      <c r="I134"/>
      <c r="J134"/>
    </row>
    <row r="135" spans="1:10" x14ac:dyDescent="0.25">
      <c r="A135"/>
      <c r="B135"/>
      <c r="C135"/>
      <c r="D135"/>
      <c r="E135"/>
      <c r="F135"/>
      <c r="G135"/>
      <c r="H135"/>
      <c r="I135"/>
      <c r="J135"/>
    </row>
    <row r="136" spans="1:10" x14ac:dyDescent="0.25">
      <c r="A136"/>
      <c r="B136"/>
      <c r="C136"/>
      <c r="D136"/>
      <c r="E136"/>
      <c r="F136"/>
      <c r="G136"/>
      <c r="H136"/>
      <c r="I136"/>
      <c r="J136"/>
    </row>
    <row r="137" spans="1:10" x14ac:dyDescent="0.25">
      <c r="A137"/>
      <c r="B137"/>
      <c r="C137"/>
      <c r="D137"/>
      <c r="E137"/>
      <c r="F137"/>
      <c r="G137"/>
      <c r="H137"/>
      <c r="I137"/>
      <c r="J137"/>
    </row>
    <row r="138" spans="1:10" x14ac:dyDescent="0.25">
      <c r="A138"/>
      <c r="B138"/>
      <c r="C138"/>
      <c r="D138"/>
      <c r="E138"/>
      <c r="F138"/>
      <c r="G138"/>
      <c r="H138"/>
      <c r="I138"/>
      <c r="J138"/>
    </row>
    <row r="139" spans="1:10" x14ac:dyDescent="0.25">
      <c r="A139"/>
      <c r="B139"/>
      <c r="C139"/>
      <c r="D139"/>
      <c r="E139"/>
      <c r="F139"/>
      <c r="G139"/>
      <c r="H139"/>
      <c r="I139"/>
      <c r="J139"/>
    </row>
    <row r="140" spans="1:10" x14ac:dyDescent="0.25">
      <c r="A140"/>
      <c r="B140"/>
      <c r="C140"/>
      <c r="D140"/>
      <c r="E140"/>
      <c r="F140"/>
      <c r="G140"/>
      <c r="H140"/>
      <c r="I140"/>
      <c r="J140"/>
    </row>
    <row r="141" spans="1:10" x14ac:dyDescent="0.25">
      <c r="A141"/>
      <c r="B141"/>
      <c r="C141"/>
      <c r="D141"/>
      <c r="E141"/>
      <c r="F141"/>
      <c r="G141"/>
      <c r="H141"/>
      <c r="I141"/>
      <c r="J141"/>
    </row>
    <row r="142" spans="1:10" x14ac:dyDescent="0.25">
      <c r="A142"/>
      <c r="B142"/>
      <c r="C142"/>
      <c r="D142"/>
      <c r="E142"/>
      <c r="F142"/>
      <c r="G142"/>
      <c r="H142"/>
      <c r="I142"/>
      <c r="J142"/>
    </row>
    <row r="143" spans="1:10" x14ac:dyDescent="0.25">
      <c r="A143"/>
      <c r="B143"/>
      <c r="C143"/>
      <c r="D143"/>
      <c r="E143"/>
      <c r="F143"/>
      <c r="G143"/>
      <c r="H143"/>
      <c r="I143"/>
      <c r="J143"/>
    </row>
    <row r="144" spans="1:10" x14ac:dyDescent="0.25">
      <c r="A144"/>
      <c r="B144"/>
      <c r="C144"/>
      <c r="D144"/>
      <c r="E144"/>
      <c r="F144"/>
      <c r="G144"/>
      <c r="H144"/>
      <c r="I144"/>
      <c r="J144"/>
    </row>
    <row r="145" spans="1:10" x14ac:dyDescent="0.25">
      <c r="A145"/>
      <c r="B145"/>
      <c r="C145"/>
      <c r="D145"/>
      <c r="E145"/>
      <c r="F145"/>
      <c r="G145"/>
      <c r="H145"/>
      <c r="I145"/>
      <c r="J145"/>
    </row>
    <row r="146" spans="1:10" x14ac:dyDescent="0.25">
      <c r="A146"/>
      <c r="B146"/>
      <c r="C146"/>
      <c r="D146"/>
      <c r="E146"/>
      <c r="F146"/>
      <c r="G146"/>
      <c r="H146"/>
      <c r="I146"/>
      <c r="J146"/>
    </row>
    <row r="147" spans="1:10" x14ac:dyDescent="0.25">
      <c r="A147"/>
      <c r="B147"/>
      <c r="C147"/>
      <c r="D147"/>
      <c r="E147"/>
      <c r="F147"/>
      <c r="G147"/>
      <c r="H147"/>
      <c r="I147"/>
      <c r="J147"/>
    </row>
    <row r="148" spans="1:10" x14ac:dyDescent="0.25">
      <c r="A148"/>
      <c r="B148"/>
      <c r="C148"/>
      <c r="D148"/>
      <c r="E148"/>
      <c r="F148"/>
      <c r="G148"/>
      <c r="H148"/>
      <c r="I148"/>
      <c r="J148"/>
    </row>
    <row r="149" spans="1:10" x14ac:dyDescent="0.25">
      <c r="A149"/>
      <c r="B149"/>
      <c r="C149"/>
      <c r="D149"/>
      <c r="E149"/>
      <c r="F149"/>
      <c r="G149"/>
      <c r="H149"/>
      <c r="I149"/>
      <c r="J149"/>
    </row>
    <row r="150" spans="1:10" x14ac:dyDescent="0.25">
      <c r="A150"/>
      <c r="B150"/>
      <c r="C150"/>
      <c r="D150"/>
      <c r="E150"/>
      <c r="F150"/>
      <c r="G150"/>
      <c r="H150"/>
      <c r="I150"/>
      <c r="J150"/>
    </row>
    <row r="151" spans="1:10" x14ac:dyDescent="0.25">
      <c r="A151"/>
      <c r="B151"/>
      <c r="C151"/>
      <c r="D151"/>
      <c r="E151"/>
      <c r="F151"/>
      <c r="G151"/>
      <c r="H151"/>
      <c r="I151"/>
      <c r="J151"/>
    </row>
    <row r="152" spans="1:10" x14ac:dyDescent="0.25">
      <c r="A152"/>
      <c r="B152"/>
      <c r="C152"/>
      <c r="D152"/>
      <c r="E152"/>
      <c r="F152"/>
      <c r="G152"/>
      <c r="H152"/>
      <c r="I152"/>
      <c r="J152"/>
    </row>
    <row r="153" spans="1:10" x14ac:dyDescent="0.25">
      <c r="A153"/>
      <c r="B153"/>
      <c r="C153"/>
      <c r="D153"/>
      <c r="E153"/>
      <c r="F153"/>
      <c r="G153"/>
      <c r="H153"/>
      <c r="I153"/>
      <c r="J153"/>
    </row>
    <row r="154" spans="1:10" x14ac:dyDescent="0.25">
      <c r="A154"/>
      <c r="B154"/>
      <c r="C154"/>
      <c r="D154"/>
      <c r="E154"/>
      <c r="F154"/>
      <c r="G154"/>
      <c r="H154"/>
      <c r="I154"/>
      <c r="J154"/>
    </row>
    <row r="155" spans="1:10" x14ac:dyDescent="0.25">
      <c r="A155"/>
      <c r="B155"/>
      <c r="C155"/>
      <c r="D155"/>
      <c r="E155"/>
      <c r="F155"/>
      <c r="G155"/>
      <c r="H155"/>
      <c r="I155"/>
      <c r="J155"/>
    </row>
    <row r="156" spans="1:10" x14ac:dyDescent="0.25">
      <c r="A156"/>
      <c r="B156"/>
      <c r="C156"/>
      <c r="D156"/>
      <c r="E156"/>
      <c r="F156"/>
      <c r="G156"/>
      <c r="H156"/>
      <c r="I156"/>
      <c r="J156"/>
    </row>
    <row r="157" spans="1:10" x14ac:dyDescent="0.25">
      <c r="A157"/>
      <c r="B157"/>
      <c r="C157"/>
      <c r="D157"/>
      <c r="E157"/>
      <c r="F157"/>
      <c r="G157"/>
      <c r="H157"/>
      <c r="I157"/>
      <c r="J157"/>
    </row>
    <row r="158" spans="1:10" x14ac:dyDescent="0.25">
      <c r="A158"/>
      <c r="B158"/>
      <c r="C158"/>
      <c r="D158"/>
      <c r="E158"/>
      <c r="F158"/>
      <c r="G158"/>
      <c r="H158"/>
      <c r="I158"/>
      <c r="J158"/>
    </row>
    <row r="159" spans="1:10" x14ac:dyDescent="0.25">
      <c r="A159"/>
      <c r="B159"/>
      <c r="C159"/>
      <c r="D159"/>
      <c r="E159"/>
      <c r="F159"/>
      <c r="G159"/>
      <c r="H159"/>
      <c r="I159"/>
      <c r="J159"/>
    </row>
    <row r="160" spans="1:10" x14ac:dyDescent="0.25">
      <c r="A160"/>
      <c r="B160"/>
      <c r="C160"/>
      <c r="D160"/>
      <c r="E160"/>
      <c r="F160"/>
      <c r="G160"/>
      <c r="H160"/>
      <c r="I160"/>
      <c r="J160"/>
    </row>
    <row r="161" spans="1:10" x14ac:dyDescent="0.25">
      <c r="A161"/>
      <c r="B161"/>
      <c r="C161"/>
      <c r="D161"/>
      <c r="E161"/>
      <c r="F161"/>
      <c r="G161"/>
      <c r="H161"/>
      <c r="I161"/>
      <c r="J161"/>
    </row>
    <row r="162" spans="1:10" x14ac:dyDescent="0.25">
      <c r="A162"/>
      <c r="B162"/>
      <c r="C162"/>
      <c r="D162"/>
      <c r="E162"/>
      <c r="F162"/>
      <c r="G162"/>
      <c r="H162"/>
      <c r="I162"/>
      <c r="J162"/>
    </row>
    <row r="163" spans="1:10" x14ac:dyDescent="0.25">
      <c r="A163"/>
      <c r="B163"/>
      <c r="C163"/>
      <c r="D163"/>
      <c r="E163"/>
      <c r="F163"/>
      <c r="G163"/>
      <c r="H163"/>
      <c r="I163"/>
      <c r="J163"/>
    </row>
    <row r="164" spans="1:10" x14ac:dyDescent="0.25">
      <c r="A164"/>
      <c r="B164"/>
      <c r="C164"/>
      <c r="D164"/>
      <c r="E164"/>
      <c r="F164"/>
      <c r="G164"/>
      <c r="H164"/>
      <c r="I164"/>
      <c r="J164"/>
    </row>
    <row r="165" spans="1:10" x14ac:dyDescent="0.25">
      <c r="A165"/>
      <c r="B165"/>
      <c r="C165"/>
      <c r="D165"/>
      <c r="E165"/>
      <c r="F165"/>
      <c r="G165"/>
      <c r="H165"/>
      <c r="I165"/>
      <c r="J165"/>
    </row>
    <row r="166" spans="1:10" x14ac:dyDescent="0.25">
      <c r="A166"/>
      <c r="B166"/>
      <c r="C166"/>
      <c r="D166"/>
      <c r="E166"/>
      <c r="F166"/>
      <c r="G166"/>
      <c r="H166"/>
      <c r="I166"/>
      <c r="J166"/>
    </row>
    <row r="167" spans="1:10" x14ac:dyDescent="0.25">
      <c r="A167"/>
      <c r="B167"/>
      <c r="C167"/>
      <c r="D167"/>
      <c r="E167"/>
      <c r="F167"/>
      <c r="G167"/>
      <c r="H167"/>
      <c r="I167"/>
      <c r="J167"/>
    </row>
    <row r="168" spans="1:10" x14ac:dyDescent="0.25">
      <c r="A168"/>
      <c r="B168"/>
      <c r="C168"/>
      <c r="D168"/>
      <c r="E168"/>
      <c r="F168"/>
      <c r="G168"/>
      <c r="H168"/>
      <c r="I168"/>
      <c r="J168"/>
    </row>
    <row r="169" spans="1:10" x14ac:dyDescent="0.25">
      <c r="A169"/>
      <c r="B169"/>
      <c r="C169"/>
      <c r="D169"/>
      <c r="E169"/>
      <c r="F169"/>
      <c r="G169"/>
      <c r="H169"/>
      <c r="I169"/>
      <c r="J169"/>
    </row>
    <row r="170" spans="1:10" x14ac:dyDescent="0.25">
      <c r="A170"/>
      <c r="B170"/>
      <c r="C170"/>
      <c r="D170"/>
      <c r="E170"/>
      <c r="F170"/>
      <c r="G170"/>
      <c r="H170"/>
      <c r="I170"/>
      <c r="J170"/>
    </row>
    <row r="171" spans="1:10" x14ac:dyDescent="0.25">
      <c r="A171"/>
      <c r="B171"/>
      <c r="C171"/>
      <c r="D171"/>
      <c r="E171"/>
      <c r="F171"/>
      <c r="G171"/>
      <c r="H171"/>
      <c r="I171"/>
      <c r="J171"/>
    </row>
    <row r="172" spans="1:10" x14ac:dyDescent="0.25">
      <c r="A172"/>
      <c r="B172"/>
      <c r="C172"/>
      <c r="D172"/>
      <c r="E172"/>
      <c r="F172"/>
      <c r="G172"/>
      <c r="H172"/>
      <c r="I172"/>
      <c r="J172"/>
    </row>
    <row r="173" spans="1:10" x14ac:dyDescent="0.25">
      <c r="A173"/>
      <c r="B173"/>
      <c r="C173"/>
      <c r="D173"/>
      <c r="E173"/>
      <c r="F173"/>
      <c r="G173"/>
      <c r="H173"/>
      <c r="I173"/>
      <c r="J173"/>
    </row>
    <row r="174" spans="1:10" x14ac:dyDescent="0.25">
      <c r="A174"/>
      <c r="B174"/>
      <c r="C174"/>
      <c r="D174"/>
      <c r="E174"/>
      <c r="F174"/>
      <c r="G174"/>
      <c r="H174"/>
      <c r="I174"/>
      <c r="J174"/>
    </row>
    <row r="175" spans="1:10" x14ac:dyDescent="0.25">
      <c r="A175"/>
      <c r="B175"/>
      <c r="C175"/>
      <c r="D175"/>
      <c r="E175"/>
      <c r="F175"/>
      <c r="G175"/>
      <c r="H175"/>
      <c r="I175"/>
      <c r="J175"/>
    </row>
    <row r="176" spans="1:10" x14ac:dyDescent="0.25">
      <c r="A176"/>
      <c r="B176"/>
      <c r="C176"/>
      <c r="D176"/>
      <c r="E176"/>
      <c r="F176"/>
      <c r="G176"/>
      <c r="H176"/>
      <c r="I176"/>
      <c r="J176"/>
    </row>
    <row r="177" spans="1:10" x14ac:dyDescent="0.25">
      <c r="A177"/>
      <c r="B177"/>
      <c r="C177"/>
      <c r="D177"/>
      <c r="E177"/>
      <c r="F177"/>
      <c r="G177"/>
      <c r="H177"/>
      <c r="I177"/>
      <c r="J177"/>
    </row>
    <row r="178" spans="1:10" x14ac:dyDescent="0.25">
      <c r="A178"/>
      <c r="B178"/>
      <c r="C178"/>
      <c r="D178"/>
      <c r="E178"/>
      <c r="F178"/>
      <c r="G178"/>
      <c r="H178"/>
      <c r="I178"/>
      <c r="J178"/>
    </row>
    <row r="179" spans="1:10" x14ac:dyDescent="0.25">
      <c r="A179"/>
      <c r="B179"/>
      <c r="C179"/>
      <c r="D179"/>
      <c r="E179"/>
      <c r="F179"/>
      <c r="G179"/>
      <c r="H179"/>
      <c r="I179"/>
      <c r="J179"/>
    </row>
    <row r="180" spans="1:10" x14ac:dyDescent="0.25">
      <c r="A180"/>
      <c r="B180"/>
      <c r="C180"/>
      <c r="D180"/>
      <c r="E180"/>
      <c r="F180"/>
      <c r="G180"/>
      <c r="H180"/>
      <c r="I180"/>
      <c r="J180"/>
    </row>
    <row r="181" spans="1:10" x14ac:dyDescent="0.25">
      <c r="A181"/>
      <c r="B181"/>
      <c r="C181"/>
      <c r="D181"/>
      <c r="E181"/>
      <c r="F181"/>
      <c r="G181"/>
      <c r="H181"/>
      <c r="I181"/>
      <c r="J181"/>
    </row>
    <row r="182" spans="1:10" x14ac:dyDescent="0.25">
      <c r="A182"/>
      <c r="B182"/>
      <c r="C182"/>
      <c r="D182"/>
      <c r="E182"/>
      <c r="F182"/>
      <c r="G182"/>
      <c r="H182"/>
      <c r="I182"/>
      <c r="J182"/>
    </row>
    <row r="183" spans="1:10" x14ac:dyDescent="0.25">
      <c r="A183"/>
      <c r="B183"/>
      <c r="C183"/>
      <c r="D183"/>
      <c r="E183"/>
      <c r="F183"/>
      <c r="G183"/>
      <c r="H183"/>
      <c r="I183"/>
      <c r="J183"/>
    </row>
    <row r="184" spans="1:10" x14ac:dyDescent="0.25">
      <c r="A184"/>
      <c r="B184"/>
      <c r="C184"/>
      <c r="D184"/>
      <c r="E184"/>
      <c r="F184"/>
      <c r="G184"/>
      <c r="H184"/>
      <c r="I184"/>
      <c r="J184"/>
    </row>
    <row r="185" spans="1:10" x14ac:dyDescent="0.25">
      <c r="A185"/>
      <c r="B185"/>
      <c r="C185"/>
      <c r="D185"/>
      <c r="E185"/>
      <c r="F185"/>
      <c r="G185"/>
      <c r="H185"/>
      <c r="I185"/>
      <c r="J185"/>
    </row>
    <row r="186" spans="1:10" x14ac:dyDescent="0.25">
      <c r="A186"/>
      <c r="B186"/>
      <c r="C186"/>
      <c r="D186"/>
      <c r="E186"/>
      <c r="F186"/>
      <c r="G186"/>
      <c r="H186"/>
      <c r="I186"/>
      <c r="J186"/>
    </row>
    <row r="187" spans="1:10" x14ac:dyDescent="0.25">
      <c r="A187"/>
      <c r="B187"/>
      <c r="C187"/>
      <c r="D187"/>
      <c r="E187"/>
      <c r="F187"/>
      <c r="G187"/>
      <c r="H187"/>
      <c r="I187"/>
      <c r="J187"/>
    </row>
    <row r="188" spans="1:10" x14ac:dyDescent="0.25">
      <c r="A188"/>
      <c r="B188"/>
      <c r="C188"/>
      <c r="D188"/>
      <c r="E188"/>
      <c r="F188"/>
      <c r="G188"/>
      <c r="H188"/>
      <c r="I188"/>
      <c r="J188"/>
    </row>
    <row r="189" spans="1:10" x14ac:dyDescent="0.25">
      <c r="A189"/>
      <c r="B189"/>
      <c r="C189"/>
      <c r="D189"/>
      <c r="E189"/>
      <c r="F189"/>
      <c r="G189"/>
      <c r="H189"/>
      <c r="I189"/>
      <c r="J189"/>
    </row>
    <row r="190" spans="1:10" x14ac:dyDescent="0.25">
      <c r="A190"/>
      <c r="B190"/>
      <c r="C190"/>
      <c r="D190"/>
      <c r="E190"/>
      <c r="F190"/>
      <c r="G190"/>
      <c r="H190"/>
      <c r="I190"/>
      <c r="J190"/>
    </row>
    <row r="191" spans="1:10" x14ac:dyDescent="0.25">
      <c r="A191"/>
      <c r="B191"/>
      <c r="C191"/>
      <c r="D191"/>
      <c r="E191"/>
      <c r="F191"/>
      <c r="G191"/>
      <c r="H191"/>
      <c r="I191"/>
      <c r="J191"/>
    </row>
    <row r="192" spans="1:10" x14ac:dyDescent="0.25">
      <c r="A192"/>
      <c r="B192"/>
      <c r="C192"/>
      <c r="D192"/>
      <c r="E192"/>
      <c r="F192"/>
      <c r="G192"/>
      <c r="H192"/>
      <c r="I192"/>
      <c r="J192"/>
    </row>
    <row r="193" spans="1:10" x14ac:dyDescent="0.25">
      <c r="A193"/>
      <c r="B193"/>
      <c r="C193"/>
      <c r="D193"/>
      <c r="E193"/>
      <c r="F193"/>
      <c r="G193"/>
      <c r="H193"/>
      <c r="I193"/>
      <c r="J193"/>
    </row>
    <row r="194" spans="1:10" x14ac:dyDescent="0.25">
      <c r="A194"/>
      <c r="B194"/>
      <c r="C194"/>
      <c r="D194"/>
      <c r="E194"/>
      <c r="F194"/>
      <c r="G194"/>
      <c r="H194"/>
      <c r="I194"/>
      <c r="J194"/>
    </row>
    <row r="195" spans="1:10" x14ac:dyDescent="0.25">
      <c r="A195"/>
      <c r="B195"/>
      <c r="C195"/>
      <c r="D195"/>
      <c r="E195"/>
      <c r="F195"/>
      <c r="G195"/>
      <c r="H195"/>
      <c r="I195"/>
      <c r="J195"/>
    </row>
    <row r="196" spans="1:10" x14ac:dyDescent="0.25">
      <c r="A196"/>
      <c r="B196"/>
      <c r="C196"/>
      <c r="D196"/>
      <c r="E196"/>
      <c r="F196"/>
      <c r="G196"/>
      <c r="H196"/>
      <c r="I196"/>
      <c r="J196"/>
    </row>
    <row r="197" spans="1:10" x14ac:dyDescent="0.25">
      <c r="A197"/>
      <c r="B197"/>
      <c r="C197"/>
      <c r="D197"/>
      <c r="E197"/>
      <c r="F197"/>
      <c r="G197"/>
      <c r="H197"/>
      <c r="I197"/>
      <c r="J197"/>
    </row>
    <row r="198" spans="1:10" x14ac:dyDescent="0.25">
      <c r="A198"/>
      <c r="B198"/>
      <c r="C198"/>
      <c r="D198"/>
      <c r="E198"/>
      <c r="F198"/>
      <c r="G198"/>
      <c r="H198"/>
      <c r="I198"/>
      <c r="J198"/>
    </row>
    <row r="199" spans="1:10" x14ac:dyDescent="0.25">
      <c r="A199"/>
      <c r="B199"/>
      <c r="C199"/>
      <c r="D199"/>
      <c r="E199"/>
      <c r="F199"/>
      <c r="G199"/>
      <c r="H199"/>
      <c r="I199"/>
      <c r="J199"/>
    </row>
    <row r="200" spans="1:10" x14ac:dyDescent="0.25">
      <c r="A200"/>
      <c r="B200"/>
      <c r="C200"/>
      <c r="D200"/>
      <c r="E200"/>
      <c r="F200"/>
      <c r="G200"/>
      <c r="H200"/>
      <c r="I200"/>
      <c r="J200"/>
    </row>
    <row r="201" spans="1:10" x14ac:dyDescent="0.25">
      <c r="A201"/>
      <c r="B201"/>
      <c r="C201"/>
      <c r="D201"/>
      <c r="E201"/>
      <c r="F201"/>
      <c r="G201"/>
      <c r="H201"/>
      <c r="I201"/>
      <c r="J201"/>
    </row>
    <row r="202" spans="1:10" x14ac:dyDescent="0.25">
      <c r="A202"/>
      <c r="B202"/>
      <c r="C202"/>
      <c r="D202"/>
      <c r="E202"/>
      <c r="F202"/>
      <c r="G202"/>
      <c r="H202"/>
      <c r="I202"/>
      <c r="J202"/>
    </row>
    <row r="203" spans="1:10" x14ac:dyDescent="0.25">
      <c r="A203"/>
      <c r="B203"/>
      <c r="C203"/>
      <c r="D203"/>
      <c r="E203"/>
      <c r="F203"/>
      <c r="G203"/>
      <c r="H203"/>
      <c r="I203"/>
      <c r="J203"/>
    </row>
    <row r="204" spans="1:10" x14ac:dyDescent="0.25">
      <c r="A204"/>
      <c r="B204"/>
      <c r="C204"/>
      <c r="D204"/>
      <c r="E204"/>
      <c r="F204"/>
      <c r="G204"/>
      <c r="H204"/>
      <c r="I204"/>
      <c r="J204"/>
    </row>
    <row r="205" spans="1:10" x14ac:dyDescent="0.25">
      <c r="A205"/>
      <c r="B205"/>
      <c r="C205"/>
      <c r="D205"/>
      <c r="E205"/>
      <c r="F205"/>
      <c r="G205"/>
      <c r="H205"/>
      <c r="I205"/>
      <c r="J205"/>
    </row>
    <row r="206" spans="1:10" x14ac:dyDescent="0.25">
      <c r="A206"/>
      <c r="B206"/>
      <c r="C206"/>
      <c r="D206"/>
      <c r="E206"/>
      <c r="F206"/>
      <c r="G206"/>
      <c r="H206"/>
      <c r="I206"/>
      <c r="J206"/>
    </row>
    <row r="207" spans="1:10" x14ac:dyDescent="0.25">
      <c r="A207"/>
      <c r="B207"/>
      <c r="C207"/>
      <c r="D207"/>
      <c r="E207"/>
      <c r="F207"/>
      <c r="G207"/>
      <c r="H207"/>
      <c r="I207"/>
      <c r="J207"/>
    </row>
    <row r="208" spans="1:10" x14ac:dyDescent="0.25">
      <c r="A208"/>
      <c r="B208"/>
      <c r="C208"/>
      <c r="D208"/>
      <c r="E208"/>
      <c r="F208"/>
      <c r="G208"/>
      <c r="H208"/>
      <c r="I208"/>
      <c r="J208"/>
    </row>
    <row r="209" spans="1:10" x14ac:dyDescent="0.25">
      <c r="A209"/>
      <c r="B209"/>
      <c r="C209"/>
      <c r="D209"/>
      <c r="E209"/>
      <c r="F209"/>
      <c r="G209"/>
      <c r="H209"/>
      <c r="I209"/>
      <c r="J209"/>
    </row>
    <row r="210" spans="1:10" x14ac:dyDescent="0.25">
      <c r="A210"/>
      <c r="B210"/>
      <c r="C210"/>
      <c r="D210"/>
      <c r="E210"/>
      <c r="F210"/>
      <c r="G210"/>
      <c r="H210"/>
      <c r="I210"/>
      <c r="J210"/>
    </row>
    <row r="211" spans="1:10" x14ac:dyDescent="0.25">
      <c r="A211"/>
      <c r="B211"/>
      <c r="C211"/>
      <c r="D211"/>
      <c r="E211"/>
      <c r="F211"/>
      <c r="G211"/>
      <c r="H211"/>
      <c r="I211"/>
      <c r="J211"/>
    </row>
    <row r="212" spans="1:10" x14ac:dyDescent="0.25">
      <c r="A212"/>
      <c r="B212"/>
      <c r="C212"/>
      <c r="D212"/>
      <c r="E212"/>
      <c r="F212"/>
      <c r="G212"/>
      <c r="H212"/>
      <c r="I212"/>
      <c r="J212"/>
    </row>
    <row r="213" spans="1:10" x14ac:dyDescent="0.25">
      <c r="A213"/>
      <c r="B213"/>
      <c r="C213"/>
      <c r="D213"/>
      <c r="E213"/>
      <c r="F213"/>
      <c r="G213"/>
      <c r="H213"/>
      <c r="I213"/>
      <c r="J213"/>
    </row>
    <row r="214" spans="1:10" x14ac:dyDescent="0.25">
      <c r="A214"/>
      <c r="B214"/>
      <c r="C214"/>
      <c r="D214"/>
      <c r="E214"/>
      <c r="F214"/>
      <c r="G214"/>
      <c r="H214"/>
      <c r="I214"/>
      <c r="J214"/>
    </row>
    <row r="215" spans="1:10" x14ac:dyDescent="0.25">
      <c r="A215"/>
      <c r="B215"/>
      <c r="C215"/>
      <c r="D215"/>
      <c r="E215"/>
      <c r="F215"/>
      <c r="G215"/>
      <c r="H215"/>
      <c r="I215"/>
      <c r="J215"/>
    </row>
    <row r="216" spans="1:10" x14ac:dyDescent="0.25">
      <c r="A216"/>
      <c r="B216"/>
      <c r="C216"/>
      <c r="D216"/>
      <c r="E216"/>
      <c r="F216"/>
      <c r="G216"/>
      <c r="H216"/>
      <c r="I216"/>
      <c r="J216"/>
    </row>
    <row r="217" spans="1:10" x14ac:dyDescent="0.25">
      <c r="A217"/>
      <c r="B217"/>
      <c r="C217"/>
      <c r="D217"/>
      <c r="E217"/>
      <c r="F217"/>
      <c r="G217"/>
      <c r="H217"/>
      <c r="I217"/>
      <c r="J217"/>
    </row>
    <row r="218" spans="1:10" x14ac:dyDescent="0.25">
      <c r="A218"/>
      <c r="B218"/>
      <c r="C218"/>
      <c r="D218"/>
      <c r="E218"/>
      <c r="F218"/>
      <c r="G218"/>
      <c r="H218"/>
      <c r="I218"/>
      <c r="J218"/>
    </row>
    <row r="219" spans="1:10" x14ac:dyDescent="0.25">
      <c r="A219"/>
      <c r="B219"/>
      <c r="C219"/>
      <c r="D219"/>
      <c r="E219"/>
      <c r="F219"/>
      <c r="G219"/>
      <c r="H219"/>
      <c r="I219"/>
      <c r="J219"/>
    </row>
    <row r="220" spans="1:10" x14ac:dyDescent="0.25">
      <c r="A220"/>
      <c r="B220"/>
      <c r="C220"/>
      <c r="D220"/>
      <c r="E220"/>
      <c r="F220"/>
      <c r="G220"/>
      <c r="H220"/>
      <c r="I220"/>
      <c r="J220"/>
    </row>
    <row r="221" spans="1:10" x14ac:dyDescent="0.25">
      <c r="A221"/>
      <c r="B221"/>
      <c r="C221"/>
      <c r="D221"/>
      <c r="E221"/>
      <c r="F221"/>
      <c r="G221"/>
      <c r="H221"/>
      <c r="I221"/>
      <c r="J221"/>
    </row>
    <row r="222" spans="1:10" x14ac:dyDescent="0.25">
      <c r="A222"/>
      <c r="B222"/>
      <c r="C222"/>
      <c r="D222"/>
      <c r="E222"/>
      <c r="F222"/>
      <c r="G222"/>
      <c r="H222"/>
      <c r="I222"/>
      <c r="J222"/>
    </row>
    <row r="223" spans="1:10" x14ac:dyDescent="0.25">
      <c r="A223"/>
      <c r="B223"/>
      <c r="C223"/>
      <c r="D223"/>
      <c r="E223"/>
      <c r="F223"/>
      <c r="G223"/>
      <c r="H223"/>
      <c r="I223"/>
      <c r="J223"/>
    </row>
    <row r="224" spans="1:10" x14ac:dyDescent="0.25">
      <c r="A224"/>
      <c r="B224"/>
      <c r="C224"/>
      <c r="D224"/>
      <c r="E224"/>
      <c r="F224"/>
      <c r="G224"/>
      <c r="H224"/>
      <c r="I224"/>
      <c r="J224"/>
    </row>
    <row r="225" spans="1:10" x14ac:dyDescent="0.25">
      <c r="A225"/>
      <c r="B225"/>
      <c r="C225"/>
      <c r="D225"/>
      <c r="E225"/>
      <c r="F225"/>
      <c r="G225"/>
      <c r="H225"/>
      <c r="I225"/>
      <c r="J225"/>
    </row>
    <row r="226" spans="1:10" x14ac:dyDescent="0.25">
      <c r="A226"/>
      <c r="B226"/>
      <c r="C226"/>
      <c r="D226"/>
      <c r="E226"/>
      <c r="F226"/>
      <c r="G226"/>
      <c r="H226"/>
      <c r="I226"/>
      <c r="J226"/>
    </row>
    <row r="227" spans="1:10" x14ac:dyDescent="0.25">
      <c r="A227"/>
      <c r="B227"/>
      <c r="C227"/>
      <c r="D227"/>
      <c r="E227"/>
      <c r="F227"/>
      <c r="G227"/>
      <c r="H227"/>
      <c r="I227"/>
      <c r="J227"/>
    </row>
    <row r="228" spans="1:10" x14ac:dyDescent="0.25">
      <c r="A228"/>
      <c r="B228"/>
      <c r="C228"/>
      <c r="D228"/>
      <c r="E228"/>
      <c r="F228"/>
      <c r="G228"/>
      <c r="H228"/>
      <c r="I228"/>
      <c r="J228"/>
    </row>
    <row r="229" spans="1:10" x14ac:dyDescent="0.25">
      <c r="A229"/>
      <c r="B229"/>
      <c r="C229"/>
      <c r="D229"/>
      <c r="E229"/>
      <c r="F229"/>
      <c r="G229"/>
      <c r="H229"/>
      <c r="I229"/>
      <c r="J229"/>
    </row>
    <row r="230" spans="1:10" x14ac:dyDescent="0.25">
      <c r="A230"/>
      <c r="B230"/>
      <c r="C230"/>
      <c r="D230"/>
      <c r="E230"/>
      <c r="F230"/>
      <c r="G230"/>
      <c r="H230"/>
      <c r="I230"/>
      <c r="J230"/>
    </row>
    <row r="231" spans="1:10" x14ac:dyDescent="0.25">
      <c r="A231"/>
      <c r="B231"/>
      <c r="C231"/>
      <c r="D231"/>
      <c r="E231"/>
      <c r="F231"/>
      <c r="G231"/>
      <c r="H231"/>
      <c r="I231"/>
      <c r="J231"/>
    </row>
    <row r="232" spans="1:10" x14ac:dyDescent="0.25">
      <c r="A232"/>
      <c r="B232"/>
      <c r="C232"/>
      <c r="D232"/>
      <c r="E232"/>
      <c r="F232"/>
      <c r="G232"/>
      <c r="H232"/>
      <c r="I232"/>
      <c r="J232"/>
    </row>
    <row r="233" spans="1:10" x14ac:dyDescent="0.25">
      <c r="A233"/>
      <c r="B233"/>
      <c r="C233"/>
      <c r="D233"/>
      <c r="E233"/>
      <c r="F233"/>
      <c r="G233"/>
      <c r="H233"/>
      <c r="I233"/>
      <c r="J233"/>
    </row>
    <row r="234" spans="1:10" x14ac:dyDescent="0.25">
      <c r="A234"/>
      <c r="B234"/>
      <c r="C234"/>
      <c r="D234"/>
      <c r="E234"/>
      <c r="F234"/>
      <c r="G234"/>
      <c r="H234"/>
      <c r="I234"/>
      <c r="J234"/>
    </row>
    <row r="235" spans="1:10" x14ac:dyDescent="0.25">
      <c r="A235"/>
      <c r="B235"/>
      <c r="C235"/>
      <c r="D235"/>
      <c r="E235"/>
      <c r="F235"/>
      <c r="G235"/>
      <c r="H235"/>
      <c r="I235"/>
      <c r="J235"/>
    </row>
    <row r="236" spans="1:10" x14ac:dyDescent="0.25">
      <c r="A236"/>
      <c r="B236"/>
      <c r="C236"/>
      <c r="D236"/>
      <c r="E236"/>
      <c r="F236"/>
      <c r="G236"/>
      <c r="H236"/>
      <c r="I236"/>
      <c r="J236"/>
    </row>
    <row r="237" spans="1:10" x14ac:dyDescent="0.25">
      <c r="A237"/>
      <c r="B237"/>
      <c r="C237"/>
      <c r="D237"/>
      <c r="E237"/>
      <c r="F237"/>
      <c r="G237"/>
      <c r="H237"/>
      <c r="I237"/>
      <c r="J237"/>
    </row>
    <row r="238" spans="1:10" x14ac:dyDescent="0.25">
      <c r="A238"/>
      <c r="B238"/>
      <c r="C238"/>
      <c r="D238"/>
      <c r="E238"/>
      <c r="F238"/>
      <c r="G238"/>
      <c r="H238"/>
      <c r="I238"/>
      <c r="J238"/>
    </row>
    <row r="239" spans="1:10" x14ac:dyDescent="0.25">
      <c r="A239"/>
      <c r="B239"/>
      <c r="C239"/>
      <c r="D239"/>
      <c r="E239"/>
      <c r="F239"/>
      <c r="G239"/>
      <c r="H239"/>
      <c r="I239"/>
      <c r="J239"/>
    </row>
    <row r="240" spans="1:10" x14ac:dyDescent="0.25">
      <c r="A240"/>
      <c r="B240"/>
      <c r="C240"/>
      <c r="D240"/>
      <c r="E240"/>
      <c r="F240"/>
      <c r="G240"/>
      <c r="H240"/>
      <c r="I240"/>
      <c r="J240"/>
    </row>
    <row r="241" spans="1:10" x14ac:dyDescent="0.25">
      <c r="A241"/>
      <c r="B241"/>
      <c r="C241"/>
      <c r="D241"/>
      <c r="E241"/>
      <c r="F241"/>
      <c r="G241"/>
      <c r="H241"/>
      <c r="I241"/>
      <c r="J241"/>
    </row>
    <row r="242" spans="1:10" x14ac:dyDescent="0.25">
      <c r="A242"/>
      <c r="B242"/>
      <c r="C242"/>
      <c r="D242"/>
      <c r="E242"/>
      <c r="F242"/>
      <c r="G242"/>
      <c r="H242"/>
      <c r="I242"/>
      <c r="J242"/>
    </row>
    <row r="243" spans="1:10" x14ac:dyDescent="0.25">
      <c r="A243"/>
      <c r="B243"/>
      <c r="C243"/>
      <c r="D243"/>
      <c r="E243"/>
      <c r="F243"/>
      <c r="G243"/>
      <c r="H243"/>
      <c r="I243"/>
      <c r="J243"/>
    </row>
    <row r="244" spans="1:10" x14ac:dyDescent="0.25">
      <c r="A244"/>
      <c r="B244"/>
      <c r="C244"/>
      <c r="D244"/>
      <c r="E244"/>
      <c r="F244"/>
      <c r="G244"/>
      <c r="H244"/>
      <c r="I244"/>
      <c r="J244"/>
    </row>
    <row r="245" spans="1:10" x14ac:dyDescent="0.25">
      <c r="A245"/>
      <c r="B245"/>
      <c r="C245"/>
      <c r="D245"/>
      <c r="E245"/>
      <c r="F245"/>
      <c r="G245"/>
      <c r="H245"/>
      <c r="I245"/>
      <c r="J245"/>
    </row>
    <row r="246" spans="1:10" x14ac:dyDescent="0.25">
      <c r="A246"/>
      <c r="B246"/>
      <c r="C246"/>
      <c r="D246"/>
      <c r="E246"/>
      <c r="F246"/>
      <c r="G246"/>
      <c r="H246"/>
      <c r="I246"/>
      <c r="J246"/>
    </row>
    <row r="247" spans="1:10" x14ac:dyDescent="0.25">
      <c r="A247"/>
      <c r="B247"/>
      <c r="C247"/>
      <c r="D247"/>
      <c r="E247"/>
      <c r="F247"/>
      <c r="G247"/>
      <c r="H247"/>
      <c r="I247"/>
      <c r="J247"/>
    </row>
    <row r="248" spans="1:10" x14ac:dyDescent="0.25">
      <c r="A248"/>
      <c r="B248"/>
      <c r="C248"/>
      <c r="D248"/>
      <c r="E248"/>
      <c r="F248"/>
      <c r="G248"/>
      <c r="H248"/>
      <c r="I248"/>
      <c r="J248"/>
    </row>
    <row r="249" spans="1:10" x14ac:dyDescent="0.25">
      <c r="A249"/>
      <c r="B249"/>
      <c r="C249"/>
      <c r="D249"/>
      <c r="E249"/>
      <c r="F249"/>
      <c r="G249"/>
      <c r="H249"/>
      <c r="I249"/>
      <c r="J249"/>
    </row>
    <row r="250" spans="1:10" x14ac:dyDescent="0.25">
      <c r="A250"/>
      <c r="B250"/>
      <c r="C250"/>
      <c r="D250"/>
      <c r="E250"/>
      <c r="F250"/>
      <c r="G250"/>
      <c r="H250"/>
      <c r="I250"/>
      <c r="J250"/>
    </row>
    <row r="251" spans="1:10" x14ac:dyDescent="0.25">
      <c r="A251"/>
      <c r="B251"/>
      <c r="C251"/>
      <c r="D251"/>
      <c r="E251"/>
      <c r="F251"/>
      <c r="G251"/>
      <c r="H251"/>
      <c r="I251"/>
      <c r="J251"/>
    </row>
    <row r="252" spans="1:10" x14ac:dyDescent="0.25">
      <c r="A252"/>
      <c r="B252"/>
      <c r="C252"/>
      <c r="D252"/>
      <c r="E252"/>
      <c r="F252"/>
      <c r="G252"/>
      <c r="H252"/>
      <c r="I252"/>
      <c r="J252"/>
    </row>
    <row r="253" spans="1:10" x14ac:dyDescent="0.25">
      <c r="A253"/>
      <c r="B253"/>
      <c r="C253"/>
      <c r="D253"/>
      <c r="E253"/>
      <c r="F253"/>
      <c r="G253"/>
      <c r="H253"/>
      <c r="I253"/>
      <c r="J253"/>
    </row>
    <row r="254" spans="1:10" x14ac:dyDescent="0.25">
      <c r="A254"/>
      <c r="B254"/>
      <c r="C254"/>
      <c r="D254"/>
      <c r="E254"/>
      <c r="F254"/>
      <c r="G254"/>
      <c r="H254"/>
      <c r="I254"/>
      <c r="J254"/>
    </row>
    <row r="255" spans="1:10" x14ac:dyDescent="0.25">
      <c r="A255"/>
      <c r="B255"/>
      <c r="C255"/>
      <c r="D255"/>
      <c r="E255"/>
      <c r="F255"/>
      <c r="G255"/>
      <c r="H255"/>
      <c r="I255"/>
      <c r="J255"/>
    </row>
    <row r="256" spans="1:10" x14ac:dyDescent="0.25">
      <c r="A256"/>
      <c r="B256"/>
      <c r="C256"/>
      <c r="D256"/>
      <c r="E256"/>
      <c r="F256"/>
      <c r="G256"/>
      <c r="H256"/>
      <c r="I256"/>
      <c r="J256"/>
    </row>
    <row r="257" spans="1:10" x14ac:dyDescent="0.25">
      <c r="A257"/>
      <c r="B257"/>
      <c r="C257"/>
      <c r="D257"/>
      <c r="E257"/>
      <c r="F257"/>
      <c r="G257"/>
      <c r="H257"/>
      <c r="I257"/>
      <c r="J257"/>
    </row>
    <row r="258" spans="1:10" x14ac:dyDescent="0.25">
      <c r="A258"/>
      <c r="B258"/>
      <c r="C258"/>
      <c r="D258"/>
      <c r="E258"/>
      <c r="F258"/>
      <c r="G258"/>
      <c r="H258"/>
      <c r="I258"/>
      <c r="J258"/>
    </row>
    <row r="259" spans="1:10" x14ac:dyDescent="0.25">
      <c r="A259"/>
      <c r="B259"/>
      <c r="C259"/>
      <c r="D259"/>
      <c r="E259"/>
      <c r="F259"/>
      <c r="G259"/>
      <c r="H259"/>
      <c r="I259"/>
      <c r="J259"/>
    </row>
    <row r="260" spans="1:10" x14ac:dyDescent="0.25">
      <c r="A260"/>
      <c r="B260"/>
      <c r="C260"/>
      <c r="D260"/>
      <c r="E260"/>
      <c r="F260"/>
      <c r="G260"/>
      <c r="H260"/>
      <c r="I260"/>
      <c r="J260"/>
    </row>
    <row r="261" spans="1:10" x14ac:dyDescent="0.25">
      <c r="A261"/>
      <c r="B261"/>
      <c r="C261"/>
      <c r="D261"/>
      <c r="E261"/>
      <c r="F261"/>
      <c r="G261"/>
      <c r="H261"/>
      <c r="I261"/>
      <c r="J261"/>
    </row>
    <row r="262" spans="1:10" x14ac:dyDescent="0.25">
      <c r="A262"/>
      <c r="B262"/>
      <c r="C262"/>
      <c r="D262"/>
      <c r="E262"/>
      <c r="F262"/>
      <c r="G262"/>
      <c r="H262"/>
      <c r="I262"/>
      <c r="J262"/>
    </row>
    <row r="263" spans="1:10" x14ac:dyDescent="0.25">
      <c r="A263"/>
      <c r="B263"/>
      <c r="C263"/>
      <c r="D263"/>
      <c r="E263"/>
      <c r="F263"/>
      <c r="G263"/>
      <c r="H263"/>
      <c r="I263"/>
      <c r="J263"/>
    </row>
    <row r="264" spans="1:10" x14ac:dyDescent="0.25">
      <c r="A264"/>
      <c r="B264"/>
      <c r="C264"/>
      <c r="D264"/>
      <c r="E264"/>
      <c r="F264"/>
      <c r="G264"/>
      <c r="H264"/>
      <c r="I264"/>
      <c r="J264"/>
    </row>
    <row r="265" spans="1:10" x14ac:dyDescent="0.25">
      <c r="A265"/>
      <c r="B265"/>
      <c r="C265"/>
      <c r="D265"/>
      <c r="E265"/>
      <c r="F265"/>
      <c r="G265"/>
      <c r="H265"/>
      <c r="I265"/>
      <c r="J265"/>
    </row>
    <row r="266" spans="1:10" x14ac:dyDescent="0.25">
      <c r="A266"/>
      <c r="B266"/>
      <c r="C266"/>
      <c r="D266"/>
      <c r="E266"/>
      <c r="F266"/>
      <c r="G266"/>
      <c r="H266"/>
      <c r="I266"/>
      <c r="J266"/>
    </row>
    <row r="267" spans="1:10" x14ac:dyDescent="0.25">
      <c r="A267"/>
      <c r="B267"/>
      <c r="C267"/>
      <c r="D267"/>
      <c r="E267"/>
      <c r="F267"/>
      <c r="G267"/>
      <c r="H267"/>
      <c r="I267"/>
      <c r="J267"/>
    </row>
    <row r="268" spans="1:10" x14ac:dyDescent="0.25">
      <c r="A268"/>
      <c r="B268"/>
      <c r="C268"/>
      <c r="D268"/>
      <c r="E268"/>
      <c r="F268"/>
      <c r="G268"/>
      <c r="H268"/>
      <c r="I268"/>
      <c r="J268"/>
    </row>
    <row r="269" spans="1:10" x14ac:dyDescent="0.25">
      <c r="A269"/>
      <c r="B269"/>
      <c r="C269"/>
      <c r="D269"/>
      <c r="E269"/>
      <c r="F269"/>
      <c r="G269"/>
      <c r="H269"/>
      <c r="I269"/>
      <c r="J269"/>
    </row>
    <row r="270" spans="1:10" x14ac:dyDescent="0.25">
      <c r="A270"/>
      <c r="B270"/>
      <c r="C270"/>
      <c r="D270"/>
      <c r="E270"/>
      <c r="F270"/>
      <c r="G270"/>
      <c r="H270"/>
      <c r="I270"/>
      <c r="J270"/>
    </row>
    <row r="271" spans="1:10" x14ac:dyDescent="0.25">
      <c r="A271"/>
      <c r="B271"/>
      <c r="C271"/>
      <c r="D271"/>
      <c r="E271"/>
      <c r="F271"/>
      <c r="G271"/>
      <c r="H271"/>
      <c r="I271"/>
      <c r="J271"/>
    </row>
    <row r="272" spans="1:10" x14ac:dyDescent="0.25">
      <c r="A272"/>
      <c r="B272"/>
      <c r="C272"/>
      <c r="D272"/>
      <c r="E272"/>
      <c r="F272"/>
      <c r="G272"/>
      <c r="H272"/>
      <c r="I272"/>
      <c r="J272"/>
    </row>
    <row r="273" spans="1:10" x14ac:dyDescent="0.25">
      <c r="A273"/>
      <c r="B273"/>
      <c r="C273"/>
      <c r="D273"/>
      <c r="E273"/>
      <c r="F273"/>
      <c r="G273"/>
      <c r="H273"/>
      <c r="I273"/>
      <c r="J273"/>
    </row>
    <row r="274" spans="1:10" x14ac:dyDescent="0.25">
      <c r="A274"/>
      <c r="B274"/>
      <c r="C274"/>
      <c r="D274"/>
      <c r="E274"/>
      <c r="F274"/>
      <c r="G274"/>
      <c r="H274"/>
      <c r="I274"/>
      <c r="J274"/>
    </row>
    <row r="275" spans="1:10" x14ac:dyDescent="0.25">
      <c r="A275"/>
      <c r="B275"/>
      <c r="C275"/>
      <c r="D275"/>
      <c r="E275"/>
      <c r="F275"/>
      <c r="G275"/>
      <c r="H275"/>
      <c r="I275"/>
      <c r="J275"/>
    </row>
    <row r="276" spans="1:10" x14ac:dyDescent="0.25">
      <c r="A276"/>
      <c r="B276"/>
      <c r="C276"/>
      <c r="D276"/>
      <c r="E276"/>
      <c r="F276"/>
      <c r="G276"/>
      <c r="H276"/>
      <c r="I276"/>
      <c r="J276"/>
    </row>
    <row r="277" spans="1:10" x14ac:dyDescent="0.25">
      <c r="A277"/>
      <c r="B277"/>
      <c r="C277"/>
      <c r="D277"/>
      <c r="E277"/>
      <c r="F277"/>
      <c r="G277"/>
      <c r="H277"/>
      <c r="I277"/>
      <c r="J277"/>
    </row>
    <row r="278" spans="1:10" x14ac:dyDescent="0.25">
      <c r="A278"/>
      <c r="B278"/>
      <c r="C278"/>
      <c r="D278"/>
      <c r="E278"/>
      <c r="F278"/>
      <c r="G278"/>
      <c r="H278"/>
      <c r="I278"/>
      <c r="J278"/>
    </row>
    <row r="279" spans="1:10" x14ac:dyDescent="0.25">
      <c r="A279"/>
      <c r="B279"/>
      <c r="C279"/>
      <c r="D279"/>
      <c r="E279"/>
      <c r="F279"/>
      <c r="G279"/>
      <c r="H279"/>
      <c r="I279"/>
      <c r="J279"/>
    </row>
    <row r="280" spans="1:10" x14ac:dyDescent="0.25">
      <c r="A280"/>
      <c r="B280"/>
      <c r="C280"/>
      <c r="D280"/>
      <c r="E280"/>
      <c r="F280"/>
      <c r="G280"/>
      <c r="H280"/>
      <c r="I280"/>
      <c r="J280"/>
    </row>
    <row r="281" spans="1:10" x14ac:dyDescent="0.25">
      <c r="A281"/>
      <c r="B281"/>
      <c r="C281"/>
      <c r="D281"/>
      <c r="E281"/>
      <c r="F281"/>
      <c r="G281"/>
      <c r="H281"/>
      <c r="I281"/>
      <c r="J281"/>
    </row>
    <row r="282" spans="1:10" x14ac:dyDescent="0.25">
      <c r="A282"/>
      <c r="B282"/>
      <c r="C282"/>
      <c r="D282"/>
      <c r="E282"/>
      <c r="F282"/>
      <c r="G282"/>
      <c r="H282"/>
      <c r="I282"/>
      <c r="J282"/>
    </row>
    <row r="283" spans="1:10" x14ac:dyDescent="0.25">
      <c r="A283"/>
      <c r="B283"/>
      <c r="C283"/>
      <c r="D283"/>
      <c r="E283"/>
      <c r="F283"/>
      <c r="G283"/>
      <c r="H283"/>
      <c r="I283"/>
      <c r="J283"/>
    </row>
    <row r="284" spans="1:10" x14ac:dyDescent="0.25">
      <c r="A284"/>
      <c r="B284"/>
      <c r="C284"/>
      <c r="D284"/>
      <c r="E284"/>
      <c r="F284"/>
      <c r="G284"/>
      <c r="H284"/>
      <c r="I284"/>
      <c r="J284"/>
    </row>
    <row r="285" spans="1:10" x14ac:dyDescent="0.25">
      <c r="A285"/>
      <c r="B285"/>
      <c r="C285"/>
      <c r="D285"/>
      <c r="E285"/>
      <c r="F285"/>
      <c r="G285"/>
      <c r="H285"/>
      <c r="I285"/>
      <c r="J285"/>
    </row>
    <row r="286" spans="1:10" x14ac:dyDescent="0.25">
      <c r="A286"/>
      <c r="B286"/>
      <c r="C286"/>
      <c r="D286"/>
      <c r="E286"/>
      <c r="F286"/>
      <c r="G286"/>
      <c r="H286"/>
      <c r="I286"/>
      <c r="J286"/>
    </row>
    <row r="287" spans="1:10" x14ac:dyDescent="0.25">
      <c r="A287"/>
      <c r="B287"/>
      <c r="C287"/>
      <c r="D287"/>
      <c r="E287"/>
      <c r="F287"/>
      <c r="G287"/>
      <c r="H287"/>
      <c r="I287"/>
      <c r="J287"/>
    </row>
    <row r="288" spans="1:10" x14ac:dyDescent="0.25">
      <c r="A288"/>
      <c r="B288"/>
      <c r="C288"/>
      <c r="D288"/>
      <c r="E288"/>
      <c r="F288"/>
      <c r="G288"/>
      <c r="H288"/>
      <c r="I288"/>
      <c r="J288"/>
    </row>
    <row r="289" spans="1:10" x14ac:dyDescent="0.25">
      <c r="A289"/>
      <c r="B289"/>
      <c r="C289"/>
      <c r="D289"/>
      <c r="E289"/>
      <c r="F289"/>
      <c r="G289"/>
      <c r="H289"/>
      <c r="I289"/>
      <c r="J289"/>
    </row>
    <row r="290" spans="1:10" x14ac:dyDescent="0.25">
      <c r="A290"/>
      <c r="B290"/>
      <c r="C290"/>
      <c r="D290"/>
      <c r="E290"/>
      <c r="F290"/>
      <c r="G290"/>
      <c r="H290"/>
      <c r="I290"/>
      <c r="J290"/>
    </row>
    <row r="291" spans="1:10" x14ac:dyDescent="0.25">
      <c r="A291"/>
      <c r="B291"/>
      <c r="C291"/>
      <c r="D291"/>
      <c r="E291"/>
      <c r="F291"/>
      <c r="G291"/>
      <c r="H291"/>
      <c r="I291"/>
      <c r="J291"/>
    </row>
    <row r="292" spans="1:10" x14ac:dyDescent="0.25">
      <c r="A292"/>
      <c r="B292"/>
      <c r="C292"/>
      <c r="D292"/>
      <c r="E292"/>
      <c r="F292"/>
      <c r="G292"/>
      <c r="H292"/>
      <c r="I292"/>
      <c r="J292"/>
    </row>
    <row r="293" spans="1:10" x14ac:dyDescent="0.25">
      <c r="A293"/>
      <c r="B293"/>
      <c r="C293"/>
      <c r="D293"/>
      <c r="E293"/>
      <c r="F293"/>
      <c r="G293"/>
      <c r="H293"/>
      <c r="I293"/>
      <c r="J293"/>
    </row>
    <row r="294" spans="1:10" x14ac:dyDescent="0.25">
      <c r="A294"/>
      <c r="B294"/>
      <c r="C294"/>
      <c r="D294"/>
      <c r="E294"/>
      <c r="F294"/>
      <c r="G294"/>
      <c r="H294"/>
      <c r="I294"/>
      <c r="J294"/>
    </row>
    <row r="295" spans="1:10" x14ac:dyDescent="0.25">
      <c r="A295"/>
      <c r="B295"/>
      <c r="C295"/>
      <c r="D295"/>
      <c r="E295"/>
      <c r="F295"/>
      <c r="G295"/>
      <c r="H295"/>
      <c r="I295"/>
      <c r="J295"/>
    </row>
    <row r="296" spans="1:10" x14ac:dyDescent="0.25">
      <c r="A296"/>
      <c r="B296"/>
      <c r="C296"/>
      <c r="D296"/>
      <c r="E296"/>
      <c r="F296"/>
      <c r="G296"/>
      <c r="H296"/>
      <c r="I296"/>
      <c r="J296"/>
    </row>
    <row r="297" spans="1:10" x14ac:dyDescent="0.25">
      <c r="A297"/>
      <c r="B297"/>
      <c r="C297"/>
      <c r="D297"/>
      <c r="E297"/>
      <c r="F297"/>
      <c r="G297"/>
      <c r="H297"/>
      <c r="I297"/>
      <c r="J297"/>
    </row>
    <row r="298" spans="1:10" x14ac:dyDescent="0.25">
      <c r="A298"/>
      <c r="B298"/>
      <c r="C298"/>
      <c r="D298"/>
      <c r="E298"/>
      <c r="F298"/>
      <c r="G298"/>
      <c r="H298"/>
      <c r="I298"/>
      <c r="J298"/>
    </row>
    <row r="299" spans="1:10" x14ac:dyDescent="0.25">
      <c r="A299"/>
      <c r="B299"/>
      <c r="C299"/>
      <c r="D299"/>
      <c r="E299"/>
      <c r="F299"/>
      <c r="G299"/>
      <c r="H299"/>
      <c r="I299"/>
      <c r="J299"/>
    </row>
    <row r="300" spans="1:10" x14ac:dyDescent="0.25">
      <c r="A300"/>
      <c r="B300"/>
      <c r="C300"/>
      <c r="D300"/>
      <c r="E300"/>
      <c r="F300"/>
      <c r="G300"/>
      <c r="H300"/>
      <c r="I300"/>
      <c r="J300"/>
    </row>
    <row r="301" spans="1:10" x14ac:dyDescent="0.25">
      <c r="A301"/>
      <c r="B301"/>
      <c r="C301"/>
      <c r="D301"/>
      <c r="E301"/>
      <c r="F301"/>
      <c r="G301"/>
      <c r="H301"/>
      <c r="I301"/>
      <c r="J301"/>
    </row>
    <row r="302" spans="1:10" x14ac:dyDescent="0.25">
      <c r="A302"/>
      <c r="B302"/>
      <c r="C302"/>
      <c r="D302"/>
      <c r="E302"/>
      <c r="F302"/>
      <c r="G302"/>
      <c r="H302"/>
      <c r="I302"/>
      <c r="J302"/>
    </row>
    <row r="303" spans="1:10" x14ac:dyDescent="0.25">
      <c r="A303"/>
      <c r="B303"/>
      <c r="C303"/>
      <c r="D303"/>
      <c r="E303"/>
      <c r="F303"/>
      <c r="G303"/>
      <c r="H303"/>
      <c r="I303"/>
      <c r="J303"/>
    </row>
    <row r="304" spans="1:10" x14ac:dyDescent="0.25">
      <c r="A304"/>
      <c r="B304"/>
      <c r="C304"/>
      <c r="D304"/>
      <c r="E304"/>
      <c r="F304"/>
      <c r="G304"/>
      <c r="H304"/>
      <c r="I304"/>
      <c r="J304"/>
    </row>
    <row r="305" spans="1:10" x14ac:dyDescent="0.25">
      <c r="A305"/>
      <c r="B305"/>
      <c r="C305"/>
      <c r="D305"/>
      <c r="E305"/>
      <c r="F305"/>
      <c r="G305"/>
      <c r="H305"/>
      <c r="I305"/>
      <c r="J305"/>
    </row>
    <row r="306" spans="1:10" x14ac:dyDescent="0.25">
      <c r="A306"/>
      <c r="B306"/>
      <c r="C306"/>
      <c r="D306"/>
      <c r="E306"/>
      <c r="F306"/>
      <c r="G306"/>
      <c r="H306"/>
      <c r="I306"/>
      <c r="J306"/>
    </row>
  </sheetData>
  <mergeCells count="2">
    <mergeCell ref="A1:I1"/>
    <mergeCell ref="G55:J5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2018-08-15T15:28:53Z</dcterms:created>
  <dcterms:modified xsi:type="dcterms:W3CDTF">2018-08-22T15:51:59Z</dcterms:modified>
</cp:coreProperties>
</file>