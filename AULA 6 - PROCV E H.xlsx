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5360" windowHeight="7755" activeTab="3"/>
  </bookViews>
  <sheets>
    <sheet name="Plan1" sheetId="1" r:id="rId1"/>
    <sheet name="Plan2" sheetId="2" r:id="rId2"/>
    <sheet name="Plan3" sheetId="3" r:id="rId3"/>
    <sheet name="Plan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/>
  <c r="B11" i="4"/>
  <c r="B10" i="4"/>
  <c r="B3" i="3"/>
  <c r="B6" i="2"/>
  <c r="B5" i="2"/>
  <c r="B4" i="2"/>
</calcChain>
</file>

<file path=xl/sharedStrings.xml><?xml version="1.0" encoding="utf-8"?>
<sst xmlns="http://schemas.openxmlformats.org/spreadsheetml/2006/main" count="171" uniqueCount="125">
  <si>
    <t>CADASTRO CLIENTES</t>
  </si>
  <si>
    <t>NOME</t>
  </si>
  <si>
    <t>ENDEREÇO</t>
  </si>
  <si>
    <t>TEL</t>
  </si>
  <si>
    <t>CEL</t>
  </si>
  <si>
    <t>CPF</t>
  </si>
  <si>
    <t>DATA_NASC</t>
  </si>
  <si>
    <t>ANA</t>
  </si>
  <si>
    <t>RUA 1</t>
  </si>
  <si>
    <t>4033-3344</t>
  </si>
  <si>
    <t>123.123.123-45</t>
  </si>
  <si>
    <t>CARLA</t>
  </si>
  <si>
    <t>RUA 2</t>
  </si>
  <si>
    <t>4033-8877</t>
  </si>
  <si>
    <t>424.422.424-53</t>
  </si>
  <si>
    <t>BETO</t>
  </si>
  <si>
    <t>RUA 3</t>
  </si>
  <si>
    <t>4033-0987</t>
  </si>
  <si>
    <t>353.533.353-12</t>
  </si>
  <si>
    <t>VVIVNA</t>
  </si>
  <si>
    <t>RUA 4</t>
  </si>
  <si>
    <t>4034-9988</t>
  </si>
  <si>
    <t>344.646.577-23</t>
  </si>
  <si>
    <t>JONAS</t>
  </si>
  <si>
    <t>RUA 5</t>
  </si>
  <si>
    <t>4034-8877</t>
  </si>
  <si>
    <t>535.757.346-00</t>
  </si>
  <si>
    <t>CARLOS</t>
  </si>
  <si>
    <t>RUA 6</t>
  </si>
  <si>
    <t>4034-2233</t>
  </si>
  <si>
    <t>252.345.754-99</t>
  </si>
  <si>
    <t>RITA</t>
  </si>
  <si>
    <t>RUA 7</t>
  </si>
  <si>
    <t>233.363.343-76</t>
  </si>
  <si>
    <t>CARINA</t>
  </si>
  <si>
    <t>RUA 8</t>
  </si>
  <si>
    <t>333.353.646-99</t>
  </si>
  <si>
    <t>MARIA</t>
  </si>
  <si>
    <t>RUA 9</t>
  </si>
  <si>
    <t>556.664.442-99</t>
  </si>
  <si>
    <t>VANIA</t>
  </si>
  <si>
    <t>RUA 10</t>
  </si>
  <si>
    <t>CHARLES</t>
  </si>
  <si>
    <t>RUA 11</t>
  </si>
  <si>
    <t>OTAVIO</t>
  </si>
  <si>
    <t>RUA 12</t>
  </si>
  <si>
    <t>RUA 13</t>
  </si>
  <si>
    <t>223.554.656-22</t>
  </si>
  <si>
    <t>RENATA</t>
  </si>
  <si>
    <t>RUA 14</t>
  </si>
  <si>
    <t>123.123.123-46</t>
  </si>
  <si>
    <t>JORGE</t>
  </si>
  <si>
    <t>RUA 15</t>
  </si>
  <si>
    <t>424.422.424-54</t>
  </si>
  <si>
    <t>TAMIRIS</t>
  </si>
  <si>
    <t>RUA 16</t>
  </si>
  <si>
    <t>353.533.353-13</t>
  </si>
  <si>
    <t>GABRIEL</t>
  </si>
  <si>
    <t>RUA 17</t>
  </si>
  <si>
    <t>111.463.366-64</t>
  </si>
  <si>
    <t>PEDRO</t>
  </si>
  <si>
    <t>RUA 18</t>
  </si>
  <si>
    <t>343.343.444-99</t>
  </si>
  <si>
    <t>CELIA</t>
  </si>
  <si>
    <t>RUA 19</t>
  </si>
  <si>
    <t>446.632.535-33</t>
  </si>
  <si>
    <t>VALDIR</t>
  </si>
  <si>
    <t>RUA 20</t>
  </si>
  <si>
    <t>352.574.234-88</t>
  </si>
  <si>
    <t>GABRIELE</t>
  </si>
  <si>
    <t>RUA 21</t>
  </si>
  <si>
    <t>452.474.234-76</t>
  </si>
  <si>
    <t>RENAN</t>
  </si>
  <si>
    <t>RUA 22</t>
  </si>
  <si>
    <t>355.747.334-86</t>
  </si>
  <si>
    <t>VERA</t>
  </si>
  <si>
    <t>RUA 23</t>
  </si>
  <si>
    <t>JOSE</t>
  </si>
  <si>
    <t>RUA 24</t>
  </si>
  <si>
    <t>HUGO</t>
  </si>
  <si>
    <t>RUA 25</t>
  </si>
  <si>
    <t>PAULA</t>
  </si>
  <si>
    <t>RUA 26</t>
  </si>
  <si>
    <t>FELIX</t>
  </si>
  <si>
    <t>RUA 27</t>
  </si>
  <si>
    <t>RUA 28</t>
  </si>
  <si>
    <t>NANCI</t>
  </si>
  <si>
    <t>RUA 29</t>
  </si>
  <si>
    <t>CONSULTA</t>
  </si>
  <si>
    <t>END</t>
  </si>
  <si>
    <t>Pais:</t>
  </si>
  <si>
    <t>Pontos</t>
  </si>
  <si>
    <t>Corrida</t>
  </si>
  <si>
    <t>Austrália</t>
  </si>
  <si>
    <t>Malásia</t>
  </si>
  <si>
    <t>China</t>
  </si>
  <si>
    <t>Bahrein</t>
  </si>
  <si>
    <t>Espanha</t>
  </si>
  <si>
    <t>Mônaco</t>
  </si>
  <si>
    <t>Canadá</t>
  </si>
  <si>
    <t>Europa</t>
  </si>
  <si>
    <t>Inglaterra</t>
  </si>
  <si>
    <t>Alemanhã</t>
  </si>
  <si>
    <t>Hungria</t>
  </si>
  <si>
    <t>Bélgica</t>
  </si>
  <si>
    <t>Brasil</t>
  </si>
  <si>
    <t>Largada</t>
  </si>
  <si>
    <t>Colocação</t>
  </si>
  <si>
    <t>TABELA DE PRODUTOS</t>
  </si>
  <si>
    <t>COD</t>
  </si>
  <si>
    <t>PROD</t>
  </si>
  <si>
    <t>ALMOFADA</t>
  </si>
  <si>
    <t>RADIO</t>
  </si>
  <si>
    <t>SOFA</t>
  </si>
  <si>
    <t>CADEIRA</t>
  </si>
  <si>
    <t>MESA</t>
  </si>
  <si>
    <t>TV</t>
  </si>
  <si>
    <t>VALOR</t>
  </si>
  <si>
    <t>LOCAL</t>
  </si>
  <si>
    <t>SP</t>
  </si>
  <si>
    <t>RJ</t>
  </si>
  <si>
    <t>DF</t>
  </si>
  <si>
    <t>MG</t>
  </si>
  <si>
    <t>RS</t>
  </si>
  <si>
    <t>malásia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</si>
</sst>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1" xfId="0" applyNumberFormat="1" applyBorder="1"/>
    <xf numFmtId="14" fontId="0" fillId="0" borderId="1" xfId="0" applyNumberFormat="1" applyBorder="1"/>
    <xf numFmtId="0" fontId="0" fillId="2" borderId="0" xfId="0" applyFill="1" applyAlignment="1"/>
    <xf numFmtId="0" fontId="0" fillId="2" borderId="1" xfId="0" applyFill="1" applyBorder="1"/>
    <xf numFmtId="0" fontId="2" fillId="0" borderId="1" xfId="0" applyFont="1" applyBorder="1"/>
    <xf numFmtId="0" fontId="3" fillId="0" borderId="2" xfId="0" applyFont="1" applyBorder="1"/>
    <xf numFmtId="1" fontId="0" fillId="0" borderId="3" xfId="0" applyNumberFormat="1" applyBorder="1"/>
    <xf numFmtId="0" fontId="0" fillId="0" borderId="0" xfId="0" applyBorder="1"/>
    <xf numFmtId="0" fontId="3" fillId="0" borderId="4" xfId="0" applyFont="1" applyBorder="1"/>
    <xf numFmtId="0" fontId="0" fillId="0" borderId="4" xfId="0" applyBorder="1"/>
    <xf numFmtId="0" fontId="3" fillId="0" borderId="5" xfId="0" applyFont="1" applyBorder="1"/>
    <xf numFmtId="1" fontId="0" fillId="0" borderId="5" xfId="0" applyNumberFormat="1" applyBorder="1"/>
    <xf numFmtId="1" fontId="0" fillId="0" borderId="5" xfId="1" applyNumberFormat="1" applyFont="1" applyBorder="1"/>
    <xf numFmtId="0" fontId="3" fillId="0" borderId="6" xfId="0" applyFont="1" applyBorder="1"/>
    <xf numFmtId="1" fontId="0" fillId="0" borderId="6" xfId="1" applyNumberFormat="1" applyFont="1" applyBorder="1"/>
    <xf numFmtId="1" fontId="0" fillId="0" borderId="6" xfId="0" applyNumberForma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topLeftCell="A7" workbookViewId="0">
      <selection activeCell="H13" sqref="H13"/>
    </sheetView>
  </sheetViews>
  <sheetFormatPr defaultRowHeight="15" x14ac:dyDescent="0.25"/>
  <cols>
    <col min="2" max="2" width="10.85546875" customWidth="1"/>
    <col min="3" max="3" width="11.42578125" customWidth="1"/>
    <col min="4" max="4" width="12.42578125" customWidth="1"/>
    <col min="5" max="5" width="15.85546875" customWidth="1"/>
    <col min="6" max="6" width="12.5703125" customWidth="1"/>
  </cols>
  <sheetData>
    <row r="1" spans="1:6" x14ac:dyDescent="0.25">
      <c r="A1" s="21" t="s">
        <v>0</v>
      </c>
      <c r="B1" s="21"/>
      <c r="C1" s="21"/>
      <c r="D1" s="21"/>
      <c r="E1" s="21"/>
      <c r="F1" s="2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25">
      <c r="A4" s="1" t="s">
        <v>7</v>
      </c>
      <c r="B4" s="1" t="s">
        <v>8</v>
      </c>
      <c r="C4" s="2" t="s">
        <v>9</v>
      </c>
      <c r="D4" s="1">
        <v>998765432</v>
      </c>
      <c r="E4" s="1" t="s">
        <v>10</v>
      </c>
      <c r="F4" s="3">
        <v>33156</v>
      </c>
    </row>
    <row r="5" spans="1:6" x14ac:dyDescent="0.25">
      <c r="A5" s="1" t="s">
        <v>11</v>
      </c>
      <c r="B5" s="1" t="s">
        <v>12</v>
      </c>
      <c r="C5" s="1" t="s">
        <v>13</v>
      </c>
      <c r="D5" s="1">
        <v>996655443</v>
      </c>
      <c r="E5" s="1" t="s">
        <v>14</v>
      </c>
      <c r="F5" s="3">
        <v>29513</v>
      </c>
    </row>
    <row r="6" spans="1:6" x14ac:dyDescent="0.25">
      <c r="A6" s="1" t="s">
        <v>15</v>
      </c>
      <c r="B6" s="1" t="s">
        <v>16</v>
      </c>
      <c r="C6" s="1" t="s">
        <v>17</v>
      </c>
      <c r="D6" s="1">
        <v>997766552</v>
      </c>
      <c r="E6" s="1" t="s">
        <v>18</v>
      </c>
      <c r="F6" s="3">
        <v>25851</v>
      </c>
    </row>
    <row r="7" spans="1:6" x14ac:dyDescent="0.25">
      <c r="A7" s="1" t="s">
        <v>19</v>
      </c>
      <c r="B7" s="1" t="s">
        <v>20</v>
      </c>
      <c r="C7" s="1" t="s">
        <v>21</v>
      </c>
      <c r="D7" s="1">
        <v>996655882</v>
      </c>
      <c r="E7" s="1" t="s">
        <v>22</v>
      </c>
      <c r="F7" s="3">
        <v>394516</v>
      </c>
    </row>
    <row r="8" spans="1:6" x14ac:dyDescent="0.25">
      <c r="A8" s="1" t="s">
        <v>23</v>
      </c>
      <c r="B8" s="1" t="s">
        <v>24</v>
      </c>
      <c r="C8" s="1" t="s">
        <v>25</v>
      </c>
      <c r="D8" s="1">
        <v>991177662</v>
      </c>
      <c r="E8" s="1" t="s">
        <v>26</v>
      </c>
      <c r="F8" s="3">
        <v>29454</v>
      </c>
    </row>
    <row r="9" spans="1:6" x14ac:dyDescent="0.25">
      <c r="A9" s="1" t="s">
        <v>27</v>
      </c>
      <c r="B9" s="1" t="s">
        <v>28</v>
      </c>
      <c r="C9" s="1" t="s">
        <v>29</v>
      </c>
      <c r="D9" s="1">
        <v>996622384</v>
      </c>
      <c r="E9" s="1" t="s">
        <v>30</v>
      </c>
      <c r="F9" s="3">
        <v>32042</v>
      </c>
    </row>
    <row r="10" spans="1:6" x14ac:dyDescent="0.25">
      <c r="A10" s="1" t="s">
        <v>31</v>
      </c>
      <c r="B10" s="1" t="s">
        <v>32</v>
      </c>
      <c r="C10" s="2" t="s">
        <v>9</v>
      </c>
      <c r="D10" s="1">
        <v>992736371</v>
      </c>
      <c r="E10" s="1" t="s">
        <v>33</v>
      </c>
      <c r="F10" s="3">
        <v>36555</v>
      </c>
    </row>
    <row r="11" spans="1:6" x14ac:dyDescent="0.25">
      <c r="A11" s="1" t="s">
        <v>34</v>
      </c>
      <c r="B11" s="1" t="s">
        <v>35</v>
      </c>
      <c r="C11" s="1" t="s">
        <v>13</v>
      </c>
      <c r="D11" s="1">
        <v>993273727</v>
      </c>
      <c r="E11" s="1" t="s">
        <v>36</v>
      </c>
      <c r="F11" s="3">
        <v>28743</v>
      </c>
    </row>
    <row r="12" spans="1:6" x14ac:dyDescent="0.25">
      <c r="A12" s="1" t="s">
        <v>37</v>
      </c>
      <c r="B12" s="1" t="s">
        <v>38</v>
      </c>
      <c r="C12" s="1" t="s">
        <v>17</v>
      </c>
      <c r="D12" s="1">
        <v>992323133</v>
      </c>
      <c r="E12" s="1" t="s">
        <v>39</v>
      </c>
      <c r="F12" s="3">
        <v>28013</v>
      </c>
    </row>
    <row r="13" spans="1:6" x14ac:dyDescent="0.25">
      <c r="A13" s="1" t="s">
        <v>40</v>
      </c>
      <c r="B13" s="1" t="s">
        <v>41</v>
      </c>
      <c r="C13" s="1" t="s">
        <v>21</v>
      </c>
      <c r="D13" s="1">
        <v>992432121</v>
      </c>
      <c r="E13" s="1" t="s">
        <v>26</v>
      </c>
      <c r="F13" s="3">
        <v>27282</v>
      </c>
    </row>
    <row r="14" spans="1:6" x14ac:dyDescent="0.25">
      <c r="A14" s="1" t="s">
        <v>42</v>
      </c>
      <c r="B14" s="1" t="s">
        <v>43</v>
      </c>
      <c r="C14" s="1" t="s">
        <v>25</v>
      </c>
      <c r="D14" s="1">
        <v>991323244</v>
      </c>
      <c r="E14" s="1" t="s">
        <v>30</v>
      </c>
      <c r="F14" s="3">
        <v>26552</v>
      </c>
    </row>
    <row r="15" spans="1:6" x14ac:dyDescent="0.25">
      <c r="A15" s="1" t="s">
        <v>44</v>
      </c>
      <c r="B15" s="1" t="s">
        <v>45</v>
      </c>
      <c r="C15" s="2" t="s">
        <v>9</v>
      </c>
      <c r="D15" s="1">
        <v>991312121</v>
      </c>
      <c r="E15" s="1" t="s">
        <v>33</v>
      </c>
      <c r="F15" s="3">
        <v>25821</v>
      </c>
    </row>
    <row r="16" spans="1:6" x14ac:dyDescent="0.25">
      <c r="A16" s="1" t="s">
        <v>31</v>
      </c>
      <c r="B16" s="1" t="s">
        <v>46</v>
      </c>
      <c r="C16" s="1" t="s">
        <v>13</v>
      </c>
      <c r="D16" s="1">
        <v>992354366</v>
      </c>
      <c r="E16" s="1" t="s">
        <v>47</v>
      </c>
      <c r="F16" s="3">
        <v>25091</v>
      </c>
    </row>
    <row r="17" spans="1:6" x14ac:dyDescent="0.25">
      <c r="A17" s="1" t="s">
        <v>48</v>
      </c>
      <c r="B17" s="1" t="s">
        <v>49</v>
      </c>
      <c r="C17" s="1" t="s">
        <v>17</v>
      </c>
      <c r="D17" s="1">
        <v>996463524</v>
      </c>
      <c r="E17" s="1" t="s">
        <v>50</v>
      </c>
      <c r="F17" s="3">
        <v>29473</v>
      </c>
    </row>
    <row r="18" spans="1:6" x14ac:dyDescent="0.25">
      <c r="A18" s="1" t="s">
        <v>51</v>
      </c>
      <c r="B18" s="1" t="s">
        <v>52</v>
      </c>
      <c r="C18" s="1" t="s">
        <v>21</v>
      </c>
      <c r="D18" s="1">
        <v>995432412</v>
      </c>
      <c r="E18" s="1" t="s">
        <v>53</v>
      </c>
      <c r="F18" s="3">
        <v>29868</v>
      </c>
    </row>
    <row r="19" spans="1:6" x14ac:dyDescent="0.25">
      <c r="A19" s="1" t="s">
        <v>54</v>
      </c>
      <c r="B19" s="1" t="s">
        <v>55</v>
      </c>
      <c r="C19" s="1" t="s">
        <v>25</v>
      </c>
      <c r="D19" s="1">
        <v>995352352</v>
      </c>
      <c r="E19" s="1" t="s">
        <v>56</v>
      </c>
      <c r="F19" s="3">
        <v>30264</v>
      </c>
    </row>
    <row r="20" spans="1:6" x14ac:dyDescent="0.25">
      <c r="A20" s="1" t="s">
        <v>57</v>
      </c>
      <c r="B20" s="1" t="s">
        <v>58</v>
      </c>
      <c r="C20" s="2" t="s">
        <v>9</v>
      </c>
      <c r="D20" s="1">
        <v>993466421</v>
      </c>
      <c r="E20" s="1" t="s">
        <v>59</v>
      </c>
      <c r="F20" s="3">
        <v>30659</v>
      </c>
    </row>
    <row r="21" spans="1:6" x14ac:dyDescent="0.25">
      <c r="A21" s="1" t="s">
        <v>60</v>
      </c>
      <c r="B21" s="1" t="s">
        <v>61</v>
      </c>
      <c r="C21" s="1" t="s">
        <v>13</v>
      </c>
      <c r="D21" s="1">
        <v>997546335</v>
      </c>
      <c r="E21" s="1" t="s">
        <v>62</v>
      </c>
      <c r="F21" s="3">
        <v>31056</v>
      </c>
    </row>
    <row r="22" spans="1:6" x14ac:dyDescent="0.25">
      <c r="A22" s="1" t="s">
        <v>63</v>
      </c>
      <c r="B22" s="1" t="s">
        <v>64</v>
      </c>
      <c r="C22" s="1" t="s">
        <v>17</v>
      </c>
      <c r="D22" s="1">
        <v>994214665</v>
      </c>
      <c r="E22" s="1" t="s">
        <v>65</v>
      </c>
      <c r="F22" s="3">
        <v>31452</v>
      </c>
    </row>
    <row r="23" spans="1:6" x14ac:dyDescent="0.25">
      <c r="A23" s="1" t="s">
        <v>66</v>
      </c>
      <c r="B23" s="1" t="s">
        <v>67</v>
      </c>
      <c r="C23" s="1" t="s">
        <v>21</v>
      </c>
      <c r="D23" s="1">
        <v>994224536</v>
      </c>
      <c r="E23" s="1" t="s">
        <v>68</v>
      </c>
      <c r="F23" s="3">
        <v>31845</v>
      </c>
    </row>
    <row r="24" spans="1:6" x14ac:dyDescent="0.25">
      <c r="A24" s="1" t="s">
        <v>69</v>
      </c>
      <c r="B24" s="1" t="s">
        <v>70</v>
      </c>
      <c r="C24" s="1" t="s">
        <v>25</v>
      </c>
      <c r="D24" s="1">
        <v>995241134</v>
      </c>
      <c r="E24" s="1" t="s">
        <v>71</v>
      </c>
      <c r="F24" s="3">
        <v>32242</v>
      </c>
    </row>
    <row r="25" spans="1:6" x14ac:dyDescent="0.25">
      <c r="A25" s="1" t="s">
        <v>72</v>
      </c>
      <c r="B25" s="1" t="s">
        <v>73</v>
      </c>
      <c r="C25" s="2" t="s">
        <v>9</v>
      </c>
      <c r="D25" s="1">
        <v>992441111</v>
      </c>
      <c r="E25" s="1" t="s">
        <v>74</v>
      </c>
      <c r="F25" s="3">
        <v>32637</v>
      </c>
    </row>
    <row r="26" spans="1:6" x14ac:dyDescent="0.25">
      <c r="A26" s="1" t="s">
        <v>75</v>
      </c>
      <c r="B26" s="1" t="s">
        <v>76</v>
      </c>
      <c r="C26" s="1" t="s">
        <v>13</v>
      </c>
      <c r="D26" s="1">
        <v>994221124</v>
      </c>
      <c r="E26" s="1" t="s">
        <v>59</v>
      </c>
      <c r="F26" s="3">
        <v>33033</v>
      </c>
    </row>
    <row r="27" spans="1:6" x14ac:dyDescent="0.25">
      <c r="A27" s="1" t="s">
        <v>77</v>
      </c>
      <c r="B27" s="1" t="s">
        <v>78</v>
      </c>
      <c r="C27" s="1" t="s">
        <v>17</v>
      </c>
      <c r="D27" s="1">
        <v>995335555</v>
      </c>
      <c r="E27" s="1" t="s">
        <v>65</v>
      </c>
      <c r="F27" s="3">
        <v>33428</v>
      </c>
    </row>
    <row r="28" spans="1:6" x14ac:dyDescent="0.25">
      <c r="A28" s="1" t="s">
        <v>79</v>
      </c>
      <c r="B28" s="1" t="s">
        <v>80</v>
      </c>
      <c r="C28" s="1" t="s">
        <v>21</v>
      </c>
      <c r="D28" s="1">
        <v>990932181</v>
      </c>
      <c r="E28" s="1" t="s">
        <v>68</v>
      </c>
      <c r="F28" s="3">
        <v>32978</v>
      </c>
    </row>
    <row r="29" spans="1:6" x14ac:dyDescent="0.25">
      <c r="A29" s="1" t="s">
        <v>81</v>
      </c>
      <c r="B29" s="1" t="s">
        <v>82</v>
      </c>
      <c r="C29" s="1" t="s">
        <v>25</v>
      </c>
      <c r="D29" s="1">
        <v>994205393</v>
      </c>
      <c r="E29" s="1" t="s">
        <v>71</v>
      </c>
      <c r="F29" s="3">
        <v>33009</v>
      </c>
    </row>
    <row r="30" spans="1:6" x14ac:dyDescent="0.25">
      <c r="A30" s="1" t="s">
        <v>83</v>
      </c>
      <c r="B30" s="1" t="s">
        <v>84</v>
      </c>
      <c r="C30" s="2" t="s">
        <v>9</v>
      </c>
      <c r="D30" s="1">
        <v>994202941</v>
      </c>
      <c r="E30" s="1" t="s">
        <v>47</v>
      </c>
      <c r="F30" s="3">
        <v>33040</v>
      </c>
    </row>
    <row r="31" spans="1:6" x14ac:dyDescent="0.25">
      <c r="A31" s="1" t="s">
        <v>23</v>
      </c>
      <c r="B31" s="1" t="s">
        <v>85</v>
      </c>
      <c r="C31" s="1" t="s">
        <v>13</v>
      </c>
      <c r="D31" s="1">
        <v>995952911</v>
      </c>
      <c r="E31" s="1" t="s">
        <v>50</v>
      </c>
      <c r="F31" s="3">
        <v>33071</v>
      </c>
    </row>
    <row r="32" spans="1:6" x14ac:dyDescent="0.25">
      <c r="A32" s="1" t="s">
        <v>86</v>
      </c>
      <c r="B32" s="1" t="s">
        <v>87</v>
      </c>
      <c r="C32" s="1" t="s">
        <v>17</v>
      </c>
      <c r="D32" s="1">
        <v>995302913</v>
      </c>
      <c r="E32" s="1" t="s">
        <v>53</v>
      </c>
      <c r="F32" s="3">
        <v>33102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7" sqref="C7"/>
    </sheetView>
  </sheetViews>
  <sheetFormatPr defaultRowHeight="15" x14ac:dyDescent="0.25"/>
  <cols>
    <col min="1" max="1" width="14.140625" customWidth="1"/>
    <col min="2" max="2" width="12.140625" customWidth="1"/>
  </cols>
  <sheetData>
    <row r="1" spans="1:2" x14ac:dyDescent="0.25">
      <c r="A1" s="4" t="s">
        <v>88</v>
      </c>
      <c r="B1" s="4"/>
    </row>
    <row r="3" spans="1:2" x14ac:dyDescent="0.25">
      <c r="A3" s="5" t="s">
        <v>1</v>
      </c>
      <c r="B3" s="5" t="s">
        <v>7</v>
      </c>
    </row>
    <row r="4" spans="1:2" x14ac:dyDescent="0.25">
      <c r="A4" s="1" t="s">
        <v>6</v>
      </c>
      <c r="B4" s="3">
        <f>VLOOKUP(B3,Plan1!A3:F32,6,0)</f>
        <v>33156</v>
      </c>
    </row>
    <row r="5" spans="1:2" x14ac:dyDescent="0.25">
      <c r="A5" s="1" t="s">
        <v>89</v>
      </c>
      <c r="B5" s="1" t="str">
        <f>VLOOKUP(B3,Plan1!A3:F32,2,0)</f>
        <v>RUA 1</v>
      </c>
    </row>
    <row r="6" spans="1:2" x14ac:dyDescent="0.25">
      <c r="A6" s="1" t="s">
        <v>3</v>
      </c>
      <c r="B6" s="1" t="str">
        <f>VLOOKUP(B3,Plan1!A3:F32,3,0)</f>
        <v>4033-3344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"/>
  <sheetViews>
    <sheetView workbookViewId="0">
      <selection activeCell="B2" sqref="B2"/>
    </sheetView>
  </sheetViews>
  <sheetFormatPr defaultRowHeight="15" x14ac:dyDescent="0.25"/>
  <sheetData>
    <row r="2" spans="1:14" x14ac:dyDescent="0.25">
      <c r="A2" s="6" t="s">
        <v>90</v>
      </c>
      <c r="B2" s="1" t="s">
        <v>124</v>
      </c>
    </row>
    <row r="3" spans="1:14" ht="15.75" thickBot="1" x14ac:dyDescent="0.3">
      <c r="A3" s="7" t="s">
        <v>91</v>
      </c>
      <c r="B3" s="8">
        <f>HLOOKUP(B2,B6:N9,4,0)</f>
        <v>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25">
      <c r="A6" s="10" t="s">
        <v>92</v>
      </c>
      <c r="B6" s="11" t="s">
        <v>93</v>
      </c>
      <c r="C6" s="11" t="s">
        <v>94</v>
      </c>
      <c r="D6" s="11" t="s">
        <v>95</v>
      </c>
      <c r="E6" s="11" t="s">
        <v>96</v>
      </c>
      <c r="F6" s="11" t="s">
        <v>97</v>
      </c>
      <c r="G6" s="11" t="s">
        <v>98</v>
      </c>
      <c r="H6" s="11" t="s">
        <v>99</v>
      </c>
      <c r="I6" s="11" t="s">
        <v>100</v>
      </c>
      <c r="J6" s="11" t="s">
        <v>101</v>
      </c>
      <c r="K6" s="11" t="s">
        <v>102</v>
      </c>
      <c r="L6" s="11" t="s">
        <v>103</v>
      </c>
      <c r="M6" s="11" t="s">
        <v>104</v>
      </c>
      <c r="N6" s="11" t="s">
        <v>105</v>
      </c>
    </row>
    <row r="7" spans="1:14" x14ac:dyDescent="0.25">
      <c r="A7" s="12" t="s">
        <v>106</v>
      </c>
      <c r="B7" s="13">
        <v>14</v>
      </c>
      <c r="C7" s="13">
        <v>13</v>
      </c>
      <c r="D7" s="13">
        <v>14</v>
      </c>
      <c r="E7" s="13">
        <v>15</v>
      </c>
      <c r="F7" s="13">
        <v>13</v>
      </c>
      <c r="G7" s="13">
        <v>14</v>
      </c>
      <c r="H7" s="13">
        <v>5</v>
      </c>
      <c r="I7" s="13">
        <v>11</v>
      </c>
      <c r="J7" s="14">
        <v>7</v>
      </c>
      <c r="K7" s="14">
        <v>5.4999999999999902</v>
      </c>
      <c r="L7" s="14">
        <v>3.9999999999999898</v>
      </c>
      <c r="M7" s="14">
        <v>2.4999999999999898</v>
      </c>
      <c r="N7" s="14">
        <v>1</v>
      </c>
    </row>
    <row r="8" spans="1:14" x14ac:dyDescent="0.25">
      <c r="A8" s="12" t="s">
        <v>107</v>
      </c>
      <c r="B8" s="13">
        <v>16</v>
      </c>
      <c r="C8" s="13">
        <v>6</v>
      </c>
      <c r="D8" s="13">
        <v>7</v>
      </c>
      <c r="E8" s="13">
        <v>22</v>
      </c>
      <c r="F8" s="13">
        <v>6</v>
      </c>
      <c r="G8" s="13">
        <v>7</v>
      </c>
      <c r="H8" s="13">
        <v>8</v>
      </c>
      <c r="I8" s="13">
        <v>12</v>
      </c>
      <c r="J8" s="14">
        <v>14</v>
      </c>
      <c r="K8" s="14">
        <v>16.5</v>
      </c>
      <c r="L8" s="14">
        <v>19</v>
      </c>
      <c r="M8" s="14">
        <v>21.5</v>
      </c>
      <c r="N8" s="14">
        <v>24</v>
      </c>
    </row>
    <row r="9" spans="1:14" x14ac:dyDescent="0.25">
      <c r="A9" s="15" t="s">
        <v>91</v>
      </c>
      <c r="B9" s="16">
        <v>0</v>
      </c>
      <c r="C9" s="17">
        <v>8</v>
      </c>
      <c r="D9" s="17">
        <v>14</v>
      </c>
      <c r="E9" s="17">
        <v>14</v>
      </c>
      <c r="F9" s="17">
        <v>8</v>
      </c>
      <c r="G9" s="17">
        <v>14</v>
      </c>
      <c r="H9" s="17">
        <v>10</v>
      </c>
      <c r="I9" s="17">
        <v>22</v>
      </c>
      <c r="J9" s="16">
        <v>23.3333333333333</v>
      </c>
      <c r="K9" s="16">
        <v>27.3333333333333</v>
      </c>
      <c r="L9" s="16">
        <v>18</v>
      </c>
      <c r="M9" s="16">
        <v>12</v>
      </c>
      <c r="N9" s="16">
        <v>11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2"/>
  <sheetViews>
    <sheetView tabSelected="1" workbookViewId="0">
      <selection activeCell="B12" sqref="B12"/>
    </sheetView>
  </sheetViews>
  <sheetFormatPr defaultRowHeight="15" x14ac:dyDescent="0.25"/>
  <cols>
    <col min="2" max="2" width="12.140625" customWidth="1"/>
  </cols>
  <sheetData>
    <row r="2" spans="1:7" x14ac:dyDescent="0.25">
      <c r="A2" s="22" t="s">
        <v>108</v>
      </c>
      <c r="B2" s="22"/>
      <c r="C2" s="22"/>
      <c r="D2" s="22"/>
      <c r="E2" s="22"/>
      <c r="F2" s="22"/>
      <c r="G2" s="22"/>
    </row>
    <row r="3" spans="1:7" x14ac:dyDescent="0.25">
      <c r="A3" s="18" t="s">
        <v>109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</row>
    <row r="4" spans="1:7" x14ac:dyDescent="0.25">
      <c r="A4" s="18" t="s">
        <v>110</v>
      </c>
      <c r="B4" s="1" t="s">
        <v>111</v>
      </c>
      <c r="C4" s="1" t="s">
        <v>112</v>
      </c>
      <c r="D4" s="1" t="s">
        <v>113</v>
      </c>
      <c r="E4" s="1" t="s">
        <v>114</v>
      </c>
      <c r="F4" s="1" t="s">
        <v>115</v>
      </c>
      <c r="G4" s="1" t="s">
        <v>116</v>
      </c>
    </row>
    <row r="5" spans="1:7" x14ac:dyDescent="0.25">
      <c r="A5" s="18" t="s">
        <v>117</v>
      </c>
      <c r="B5" s="1">
        <v>10</v>
      </c>
      <c r="C5" s="1">
        <v>300</v>
      </c>
      <c r="D5" s="1">
        <v>680</v>
      </c>
      <c r="E5" s="1">
        <v>123</v>
      </c>
      <c r="F5" s="1">
        <v>250</v>
      </c>
      <c r="G5" s="1">
        <v>890</v>
      </c>
    </row>
    <row r="6" spans="1:7" x14ac:dyDescent="0.25">
      <c r="A6" s="18" t="s">
        <v>118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119</v>
      </c>
      <c r="G6" s="1" t="s">
        <v>123</v>
      </c>
    </row>
    <row r="8" spans="1:7" x14ac:dyDescent="0.25">
      <c r="A8" s="22" t="s">
        <v>88</v>
      </c>
      <c r="B8" s="22"/>
    </row>
    <row r="9" spans="1:7" x14ac:dyDescent="0.25">
      <c r="A9" s="19" t="s">
        <v>109</v>
      </c>
      <c r="B9" s="20">
        <v>5</v>
      </c>
    </row>
    <row r="10" spans="1:7" x14ac:dyDescent="0.25">
      <c r="A10" s="19" t="s">
        <v>110</v>
      </c>
      <c r="B10" s="20" t="str">
        <f>HLOOKUP(B9,B3:G6,2,0)</f>
        <v>MESA</v>
      </c>
    </row>
    <row r="11" spans="1:7" x14ac:dyDescent="0.25">
      <c r="A11" s="19" t="s">
        <v>117</v>
      </c>
      <c r="B11" s="20">
        <f>HLOOKUP(B9,B3:G6,3,0)</f>
        <v>250</v>
      </c>
    </row>
    <row r="12" spans="1:7" x14ac:dyDescent="0.25">
      <c r="A12" s="19" t="s">
        <v>118</v>
      </c>
      <c r="B12" s="20" t="str">
        <f>HLOOKUP(B9,B3:G6,4,0)</f>
        <v>SP</v>
      </c>
    </row>
  </sheetData>
  <mergeCells count="2">
    <mergeCell ref="A2:G2"/>
    <mergeCell ref="A8:B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Plan3</vt:lpstr>
      <vt:lpstr>Plan4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notep</dc:creator>
  <cp:lastModifiedBy>labrede</cp:lastModifiedBy>
  <dcterms:created xsi:type="dcterms:W3CDTF">2018-05-03T14:24:37Z</dcterms:created>
  <dcterms:modified xsi:type="dcterms:W3CDTF">2018-09-12T14:52:23Z</dcterms:modified>
</cp:coreProperties>
</file>