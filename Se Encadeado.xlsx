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9000" activeTab="1"/>
  </bookViews>
  <sheets>
    <sheet name="Planilha1" sheetId="1" r:id="rId1"/>
    <sheet name="Planilha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/>
  <c r="G4"/>
  <c r="G5"/>
  <c r="G6"/>
  <c r="G7"/>
  <c r="G8"/>
  <c r="G9"/>
  <c r="G10"/>
  <c r="G11"/>
  <c r="G12"/>
  <c r="G13"/>
  <c r="G2"/>
  <c r="F13"/>
  <c r="F12"/>
  <c r="F11"/>
  <c r="F10"/>
  <c r="F9"/>
  <c r="F8"/>
  <c r="F7"/>
  <c r="F6"/>
  <c r="F5"/>
  <c r="F4"/>
  <c r="F3"/>
  <c r="F2"/>
  <c r="E3" l="1"/>
  <c r="E4"/>
  <c r="E5"/>
  <c r="E6"/>
  <c r="E7"/>
  <c r="E8"/>
  <c r="E9"/>
  <c r="E10"/>
  <c r="E11"/>
  <c r="E12"/>
  <c r="E13"/>
  <c r="E2"/>
</calcChain>
</file>

<file path=xl/sharedStrings.xml><?xml version="1.0" encoding="utf-8"?>
<sst xmlns="http://schemas.openxmlformats.org/spreadsheetml/2006/main" count="48" uniqueCount="30">
  <si>
    <t>TABELA DE %</t>
  </si>
  <si>
    <t>PROD A</t>
  </si>
  <si>
    <t>PROD B</t>
  </si>
  <si>
    <t>PROD C</t>
  </si>
  <si>
    <t>TABELA DE DESCONTOS</t>
  </si>
  <si>
    <t>PEÇA</t>
  </si>
  <si>
    <t xml:space="preserve">TIPO </t>
  </si>
  <si>
    <t xml:space="preserve">VALOR </t>
  </si>
  <si>
    <t>QUANT</t>
  </si>
  <si>
    <t>ARMARIO</t>
  </si>
  <si>
    <t xml:space="preserve">CAMA </t>
  </si>
  <si>
    <t>MESA</t>
  </si>
  <si>
    <t>CADEIRA</t>
  </si>
  <si>
    <t>COMODA</t>
  </si>
  <si>
    <t>GUARDA ROUPA</t>
  </si>
  <si>
    <t>ESTANTE</t>
  </si>
  <si>
    <t>RACK</t>
  </si>
  <si>
    <t>PUF</t>
  </si>
  <si>
    <t>CAMA SOLTEIRO</t>
  </si>
  <si>
    <t>SOFA</t>
  </si>
  <si>
    <t>POLTRONOA</t>
  </si>
  <si>
    <t>TIPOS</t>
  </si>
  <si>
    <t>QUARTO</t>
  </si>
  <si>
    <t>COZINHA</t>
  </si>
  <si>
    <t>SALA</t>
  </si>
  <si>
    <t xml:space="preserve">TOTAL </t>
  </si>
  <si>
    <t>TOTAL A PAGAR</t>
  </si>
  <si>
    <t>SE O TIPO FOR IGUAL QUARTO DEVERA APARECER PROD A, SENAO SE FOR COZINHA DEVERÁ APARECER PROD B,  SENAO SE FOR SALA DEVERA APARECER PROD C</t>
  </si>
  <si>
    <t>SE O TIPO DO PRODUTO FOR A E A QUANTIDADE COMPRADA FOR MAIOR QUE 3 DESCONTO DE 50,00,  SENAO SE O PRODUTO FOR B DESCONTO DE 75 E SE FOR C DESCONTO DE 100</t>
  </si>
  <si>
    <t>TIPO DE PRODUTO</t>
  </si>
</sst>
</file>

<file path=xl/styles.xml><?xml version="1.0" encoding="utf-8"?>
<styleSheet xmlns="http://schemas.openxmlformats.org/spreadsheetml/2006/main">
  <numFmts count="1">
    <numFmt numFmtId="164" formatCode="_-&quot;R$&quot;* #,##0.00_-;\-&quot;R$&quot;* #,##0.00_-;_-&quot;R$&quot;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3" borderId="1" xfId="0" applyFill="1" applyBorder="1"/>
    <xf numFmtId="9" fontId="0" fillId="3" borderId="1" xfId="0" applyNumberFormat="1" applyFill="1" applyBorder="1"/>
    <xf numFmtId="164" fontId="0" fillId="3" borderId="1" xfId="1" applyFont="1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>
      <selection activeCell="I14" sqref="I14"/>
    </sheetView>
  </sheetViews>
  <sheetFormatPr defaultRowHeight="15"/>
  <cols>
    <col min="5" max="5" width="12.140625" customWidth="1"/>
  </cols>
  <sheetData>
    <row r="1" spans="1:17">
      <c r="A1" s="5" t="s">
        <v>0</v>
      </c>
      <c r="B1" s="5"/>
      <c r="D1" s="5" t="s">
        <v>4</v>
      </c>
      <c r="E1" s="5"/>
      <c r="G1" s="5" t="s">
        <v>21</v>
      </c>
      <c r="H1" s="5"/>
    </row>
    <row r="2" spans="1:17">
      <c r="A2" s="1" t="s">
        <v>1</v>
      </c>
      <c r="B2" s="2">
        <v>0.1</v>
      </c>
      <c r="D2" s="1" t="s">
        <v>1</v>
      </c>
      <c r="E2" s="3">
        <v>50</v>
      </c>
      <c r="G2" s="1" t="s">
        <v>1</v>
      </c>
      <c r="H2" s="1" t="s">
        <v>22</v>
      </c>
    </row>
    <row r="3" spans="1:17">
      <c r="A3" s="1" t="s">
        <v>2</v>
      </c>
      <c r="B3" s="2">
        <v>0.15</v>
      </c>
      <c r="D3" s="1" t="s">
        <v>2</v>
      </c>
      <c r="E3" s="3">
        <v>75</v>
      </c>
      <c r="G3" s="1" t="s">
        <v>2</v>
      </c>
      <c r="H3" s="1" t="s">
        <v>23</v>
      </c>
    </row>
    <row r="4" spans="1:17">
      <c r="A4" s="1" t="s">
        <v>3</v>
      </c>
      <c r="B4" s="2">
        <v>0.2</v>
      </c>
      <c r="D4" s="1" t="s">
        <v>3</v>
      </c>
      <c r="E4" s="3">
        <v>100</v>
      </c>
      <c r="G4" s="1" t="s">
        <v>3</v>
      </c>
      <c r="H4" s="1" t="s">
        <v>24</v>
      </c>
    </row>
    <row r="6" spans="1:17">
      <c r="A6" s="4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>
      <c r="A8" s="4" t="s">
        <v>28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</sheetData>
  <mergeCells count="5">
    <mergeCell ref="A6:O6"/>
    <mergeCell ref="A8:Q8"/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I12" sqref="I12"/>
    </sheetView>
  </sheetViews>
  <sheetFormatPr defaultRowHeight="15"/>
  <cols>
    <col min="1" max="1" width="15.42578125" bestFit="1" customWidth="1"/>
    <col min="6" max="6" width="17.28515625" bestFit="1" customWidth="1"/>
    <col min="7" max="7" width="15" bestFit="1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25</v>
      </c>
      <c r="F1" s="1" t="s">
        <v>29</v>
      </c>
      <c r="G1" s="1" t="s">
        <v>26</v>
      </c>
    </row>
    <row r="2" spans="1:7">
      <c r="A2" s="1" t="s">
        <v>9</v>
      </c>
      <c r="B2" s="1" t="s">
        <v>23</v>
      </c>
      <c r="C2" s="1">
        <v>200</v>
      </c>
      <c r="D2" s="1">
        <v>1</v>
      </c>
      <c r="E2" s="1">
        <f>C2*D2</f>
        <v>200</v>
      </c>
      <c r="F2" s="1" t="str">
        <f>IF(B2=Planilha1!$H$2,Planilha1!$G$2,IF(B2=Planilha1!$H$3,Planilha1!$G$3,IF(B2=Planilha1!$H$4,Planilha1!$G$4,0)))</f>
        <v>PROD B</v>
      </c>
      <c r="G2" s="1">
        <f>IF(F2=Planilha1!$D$2,E3-Planilha1!$E$2,IF(F2=Planilha1!$D$3,E2-Planilha1!$E$3,IF(F2=Planilha1!$D$4,E2-Planilha1!$E$4,0)))+IF(D2&gt;3,Planilha1!$E$2,0)</f>
        <v>125</v>
      </c>
    </row>
    <row r="3" spans="1:7">
      <c r="A3" s="1" t="s">
        <v>10</v>
      </c>
      <c r="B3" s="1" t="s">
        <v>22</v>
      </c>
      <c r="C3" s="1">
        <v>300</v>
      </c>
      <c r="D3" s="1">
        <v>2</v>
      </c>
      <c r="E3" s="1">
        <f t="shared" ref="E3:E13" si="0">C3*D3</f>
        <v>600</v>
      </c>
      <c r="F3" s="1" t="str">
        <f>IF(B3=Planilha1!$H$2,Planilha1!$G$2,IF(B3=Planilha1!$H$3,Planilha1!$G$3,IF(B3=Planilha1!$H$4,Planilha1!$G$4,0)))</f>
        <v>PROD A</v>
      </c>
      <c r="G3" s="1">
        <f>IF(F3=Planilha1!$D$2,E4-Planilha1!$E$2,IF(F3=Planilha1!$D$3,E3-Planilha1!$E$3,IF(F3=Planilha1!$D$4,E3-Planilha1!$E$4,0)))+IF(D3&gt;3,Planilha1!$E$2,0)</f>
        <v>1150</v>
      </c>
    </row>
    <row r="4" spans="1:7">
      <c r="A4" s="1" t="s">
        <v>11</v>
      </c>
      <c r="B4" s="1" t="s">
        <v>23</v>
      </c>
      <c r="C4" s="1">
        <v>400</v>
      </c>
      <c r="D4" s="1">
        <v>3</v>
      </c>
      <c r="E4" s="1">
        <f t="shared" si="0"/>
        <v>1200</v>
      </c>
      <c r="F4" s="1" t="str">
        <f>IF(B4=Planilha1!$H$2,Planilha1!$G$2,IF(B4=Planilha1!$H$3,Planilha1!$G$3,IF(B4=Planilha1!$H$4,Planilha1!$G$4,0)))</f>
        <v>PROD B</v>
      </c>
      <c r="G4" s="1">
        <f>IF(F4=Planilha1!$D$2,E5-Planilha1!$E$2,IF(F4=Planilha1!$D$3,E4-Planilha1!$E$3,IF(F4=Planilha1!$D$4,E4-Planilha1!$E$4,0)))+IF(D4&gt;3,Planilha1!$E$2,0)</f>
        <v>1125</v>
      </c>
    </row>
    <row r="5" spans="1:7">
      <c r="A5" s="1" t="s">
        <v>12</v>
      </c>
      <c r="B5" s="1" t="s">
        <v>23</v>
      </c>
      <c r="C5" s="1">
        <v>500</v>
      </c>
      <c r="D5" s="1">
        <v>4</v>
      </c>
      <c r="E5" s="1">
        <f t="shared" si="0"/>
        <v>2000</v>
      </c>
      <c r="F5" s="1" t="str">
        <f>IF(B5=Planilha1!$H$2,Planilha1!$G$2,IF(B5=Planilha1!$H$3,Planilha1!$G$3,IF(B5=Planilha1!$H$4,Planilha1!$G$4,0)))</f>
        <v>PROD B</v>
      </c>
      <c r="G5" s="1">
        <f>IF(F5=Planilha1!$D$2,E6-Planilha1!$E$2,IF(F5=Planilha1!$D$3,E5-Planilha1!$E$3,IF(F5=Planilha1!$D$4,E5-Planilha1!$E$4,0)))+IF(D5&gt;3,Planilha1!$E$2,0)</f>
        <v>1975</v>
      </c>
    </row>
    <row r="6" spans="1:7">
      <c r="A6" s="1" t="s">
        <v>13</v>
      </c>
      <c r="B6" s="1" t="s">
        <v>22</v>
      </c>
      <c r="C6" s="1">
        <v>600</v>
      </c>
      <c r="D6" s="1">
        <v>5</v>
      </c>
      <c r="E6" s="1">
        <f t="shared" si="0"/>
        <v>3000</v>
      </c>
      <c r="F6" s="1" t="str">
        <f>IF(B6=Planilha1!$H$2,Planilha1!$G$2,IF(B6=Planilha1!$H$3,Planilha1!$G$3,IF(B6=Planilha1!$H$4,Planilha1!$G$4,0)))</f>
        <v>PROD A</v>
      </c>
      <c r="G6" s="1">
        <f>IF(F6=Planilha1!$D$2,E7-Planilha1!$E$2,IF(F6=Planilha1!$D$3,E6-Planilha1!$E$3,IF(F6=Planilha1!$D$4,E6-Planilha1!$E$4,0)))+IF(D6&gt;3,Planilha1!$E$2,0)</f>
        <v>4200</v>
      </c>
    </row>
    <row r="7" spans="1:7">
      <c r="A7" s="1" t="s">
        <v>14</v>
      </c>
      <c r="B7" s="1" t="s">
        <v>22</v>
      </c>
      <c r="C7" s="1">
        <v>700</v>
      </c>
      <c r="D7" s="1">
        <v>6</v>
      </c>
      <c r="E7" s="1">
        <f t="shared" si="0"/>
        <v>4200</v>
      </c>
      <c r="F7" s="1" t="str">
        <f>IF(B7=Planilha1!$H$2,Planilha1!$G$2,IF(B7=Planilha1!$H$3,Planilha1!$G$3,IF(B7=Planilha1!$H$4,Planilha1!$G$4,0)))</f>
        <v>PROD A</v>
      </c>
      <c r="G7" s="1">
        <f>IF(F7=Planilha1!$D$2,E8-Planilha1!$E$2,IF(F7=Planilha1!$D$3,E7-Planilha1!$E$3,IF(F7=Planilha1!$D$4,E7-Planilha1!$E$4,0)))+IF(D7&gt;3,Planilha1!$E$2,0)</f>
        <v>5600</v>
      </c>
    </row>
    <row r="8" spans="1:7">
      <c r="A8" s="1" t="s">
        <v>15</v>
      </c>
      <c r="B8" s="1" t="s">
        <v>24</v>
      </c>
      <c r="C8" s="1">
        <v>800</v>
      </c>
      <c r="D8" s="1">
        <v>7</v>
      </c>
      <c r="E8" s="1">
        <f t="shared" si="0"/>
        <v>5600</v>
      </c>
      <c r="F8" s="1" t="str">
        <f>IF(B8=Planilha1!$H$2,Planilha1!$G$2,IF(B8=Planilha1!$H$3,Planilha1!$G$3,IF(B8=Planilha1!$H$4,Planilha1!$G$4,0)))</f>
        <v>PROD C</v>
      </c>
      <c r="G8" s="1">
        <f>IF(F8=Planilha1!$D$2,E9-Planilha1!$E$2,IF(F8=Planilha1!$D$3,E8-Planilha1!$E$3,IF(F8=Planilha1!$D$4,E8-Planilha1!$E$4,0)))+IF(D8&gt;3,Planilha1!$E$2,0)</f>
        <v>5550</v>
      </c>
    </row>
    <row r="9" spans="1:7">
      <c r="A9" s="1" t="s">
        <v>16</v>
      </c>
      <c r="B9" s="1" t="s">
        <v>24</v>
      </c>
      <c r="C9" s="1">
        <v>150</v>
      </c>
      <c r="D9" s="1">
        <v>8</v>
      </c>
      <c r="E9" s="1">
        <f t="shared" si="0"/>
        <v>1200</v>
      </c>
      <c r="F9" s="1" t="str">
        <f>IF(B9=Planilha1!$H$2,Planilha1!$G$2,IF(B9=Planilha1!$H$3,Planilha1!$G$3,IF(B9=Planilha1!$H$4,Planilha1!$G$4,0)))</f>
        <v>PROD C</v>
      </c>
      <c r="G9" s="1">
        <f>IF(F9=Planilha1!$D$2,E10-Planilha1!$E$2,IF(F9=Planilha1!$D$3,E9-Planilha1!$E$3,IF(F9=Planilha1!$D$4,E9-Planilha1!$E$4,0)))+IF(D9&gt;3,Planilha1!$E$2,0)</f>
        <v>1150</v>
      </c>
    </row>
    <row r="10" spans="1:7">
      <c r="A10" s="1" t="s">
        <v>17</v>
      </c>
      <c r="B10" s="1" t="s">
        <v>22</v>
      </c>
      <c r="C10" s="1">
        <v>100</v>
      </c>
      <c r="D10" s="1">
        <v>9</v>
      </c>
      <c r="E10" s="1">
        <f t="shared" si="0"/>
        <v>900</v>
      </c>
      <c r="F10" s="1" t="str">
        <f>IF(B10=Planilha1!$H$2,Planilha1!$G$2,IF(B10=Planilha1!$H$3,Planilha1!$G$3,IF(B10=Planilha1!$H$4,Planilha1!$G$4,0)))</f>
        <v>PROD A</v>
      </c>
      <c r="G10" s="1">
        <f>IF(F10=Planilha1!$D$2,E11-Planilha1!$E$2,IF(F10=Planilha1!$D$3,E10-Planilha1!$E$3,IF(F10=Planilha1!$D$4,E10-Planilha1!$E$4,0)))+IF(D10&gt;3,Planilha1!$E$2,0)</f>
        <v>2000</v>
      </c>
    </row>
    <row r="11" spans="1:7">
      <c r="A11" s="1" t="s">
        <v>18</v>
      </c>
      <c r="B11" s="1" t="s">
        <v>22</v>
      </c>
      <c r="C11" s="1">
        <v>200</v>
      </c>
      <c r="D11" s="1">
        <v>10</v>
      </c>
      <c r="E11" s="1">
        <f t="shared" si="0"/>
        <v>2000</v>
      </c>
      <c r="F11" s="1" t="str">
        <f>IF(B11=Planilha1!$H$2,Planilha1!$G$2,IF(B11=Planilha1!$H$3,Planilha1!$G$3,IF(B11=Planilha1!$H$4,Planilha1!$G$4,0)))</f>
        <v>PROD A</v>
      </c>
      <c r="G11" s="1">
        <f>IF(F11=Planilha1!$D$2,E12-Planilha1!$E$2,IF(F11=Planilha1!$D$3,E11-Planilha1!$E$3,IF(F11=Planilha1!$D$4,E11-Planilha1!$E$4,0)))+IF(D11&gt;3,Planilha1!$E$2,0)</f>
        <v>1500</v>
      </c>
    </row>
    <row r="12" spans="1:7">
      <c r="A12" s="1" t="s">
        <v>19</v>
      </c>
      <c r="B12" s="1" t="s">
        <v>24</v>
      </c>
      <c r="C12" s="1">
        <v>1500</v>
      </c>
      <c r="D12" s="1">
        <v>1</v>
      </c>
      <c r="E12" s="1">
        <f t="shared" si="0"/>
        <v>1500</v>
      </c>
      <c r="F12" s="1" t="str">
        <f>IF(B12=Planilha1!$H$2,Planilha1!$G$2,IF(B12=Planilha1!$H$3,Planilha1!$G$3,IF(B12=Planilha1!$H$4,Planilha1!$G$4,0)))</f>
        <v>PROD C</v>
      </c>
      <c r="G12" s="1">
        <f>IF(F12=Planilha1!$D$2,E13-Planilha1!$E$2,IF(F12=Planilha1!$D$3,E12-Planilha1!$E$3,IF(F12=Planilha1!$D$4,E12-Planilha1!$E$4,0)))+IF(D12&gt;3,Planilha1!$E$2,0)</f>
        <v>1400</v>
      </c>
    </row>
    <row r="13" spans="1:7">
      <c r="A13" s="1" t="s">
        <v>20</v>
      </c>
      <c r="B13" s="1" t="s">
        <v>24</v>
      </c>
      <c r="C13" s="1">
        <v>500</v>
      </c>
      <c r="D13" s="1">
        <v>2</v>
      </c>
      <c r="E13" s="1">
        <f t="shared" si="0"/>
        <v>1000</v>
      </c>
      <c r="F13" s="1" t="str">
        <f>IF(B13=Planilha1!$H$2,Planilha1!$G$2,IF(B13=Planilha1!$H$3,Planilha1!$G$3,IF(B13=Planilha1!$H$4,Planilha1!$G$4,0)))</f>
        <v>PROD C</v>
      </c>
      <c r="G13" s="1">
        <f>IF(F13=Planilha1!$D$2,E14-Planilha1!$E$2,IF(F13=Planilha1!$D$3,E13-Planilha1!$E$3,IF(F13=Planilha1!$D$4,E13-Planilha1!$E$4,0)))+IF(D13&gt;3,Planilha1!$E$2,0)</f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2018-09-12T13:31:21Z</dcterms:created>
  <dcterms:modified xsi:type="dcterms:W3CDTF">2018-09-12T18:45:23Z</dcterms:modified>
</cp:coreProperties>
</file>