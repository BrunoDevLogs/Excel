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9600" activeTab="1"/>
  </bookViews>
  <sheets>
    <sheet name="Planilha1" sheetId="1" r:id="rId1"/>
    <sheet name="Planilha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/>
  <c r="J3" s="1"/>
  <c r="E4"/>
  <c r="E5"/>
  <c r="E6"/>
  <c r="E7"/>
  <c r="J7" s="1"/>
  <c r="E8"/>
  <c r="E9"/>
  <c r="E10"/>
  <c r="E11"/>
  <c r="J11" s="1"/>
  <c r="E12"/>
  <c r="E13"/>
  <c r="E14"/>
  <c r="E15"/>
  <c r="J15" s="1"/>
  <c r="E16"/>
  <c r="E17"/>
  <c r="E18"/>
  <c r="E19"/>
  <c r="J19" s="1"/>
  <c r="E20"/>
  <c r="E21"/>
  <c r="E22"/>
  <c r="E23"/>
  <c r="J23" s="1"/>
  <c r="E24"/>
  <c r="E2"/>
  <c r="J2" s="1"/>
  <c r="J4"/>
  <c r="J5"/>
  <c r="J6"/>
  <c r="J8"/>
  <c r="J9"/>
  <c r="J10"/>
  <c r="J12"/>
  <c r="J13"/>
  <c r="J14"/>
  <c r="J16"/>
  <c r="J17"/>
  <c r="J18"/>
  <c r="J20"/>
  <c r="J21"/>
  <c r="J22"/>
  <c r="J2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"/>
</calcChain>
</file>

<file path=xl/sharedStrings.xml><?xml version="1.0" encoding="utf-8"?>
<sst xmlns="http://schemas.openxmlformats.org/spreadsheetml/2006/main" count="65" uniqueCount="42">
  <si>
    <t>Categoria</t>
  </si>
  <si>
    <t>Lucro%</t>
  </si>
  <si>
    <t>Vestuário</t>
  </si>
  <si>
    <t>El.Domestico</t>
  </si>
  <si>
    <t>Mat. Escolar</t>
  </si>
  <si>
    <t>MERCADORIA</t>
  </si>
  <si>
    <t>CATEGORIA</t>
  </si>
  <si>
    <t>Valor Compra</t>
  </si>
  <si>
    <t>Qt.Comprada</t>
  </si>
  <si>
    <t>Valor Venda</t>
  </si>
  <si>
    <t>Qt.Vendida</t>
  </si>
  <si>
    <t>Venda Estimada</t>
  </si>
  <si>
    <t>Relatório</t>
  </si>
  <si>
    <t>Compra do Mês</t>
  </si>
  <si>
    <t>Venda do Mês</t>
  </si>
  <si>
    <t>Camisa</t>
  </si>
  <si>
    <t>Calça</t>
  </si>
  <si>
    <t>Panela</t>
  </si>
  <si>
    <t>TV</t>
  </si>
  <si>
    <t>Mesa</t>
  </si>
  <si>
    <t>Tênis</t>
  </si>
  <si>
    <t>Geladeira</t>
  </si>
  <si>
    <t>Blusas</t>
  </si>
  <si>
    <t>Meia</t>
  </si>
  <si>
    <t>Cartolina</t>
  </si>
  <si>
    <t>Sofá</t>
  </si>
  <si>
    <t>Lápis</t>
  </si>
  <si>
    <t>Pelican</t>
  </si>
  <si>
    <t>Cama</t>
  </si>
  <si>
    <t>Fogão</t>
  </si>
  <si>
    <t>Apagador</t>
  </si>
  <si>
    <t>Gravata</t>
  </si>
  <si>
    <t>Moleton</t>
  </si>
  <si>
    <t>Esquadro</t>
  </si>
  <si>
    <t>Lousa</t>
  </si>
  <si>
    <t>Cadeira</t>
  </si>
  <si>
    <t>Jaqueta</t>
  </si>
  <si>
    <t>Luvas</t>
  </si>
  <si>
    <r>
      <t>Valor de Venda:</t>
    </r>
    <r>
      <rPr>
        <sz val="10"/>
        <color indexed="18"/>
        <rFont val="Arial"/>
        <family val="2"/>
      </rPr>
      <t xml:space="preserve"> SE a CATEGORIA = vestuario, o valor de venda deverá ter um acrescimo de 40%, senão SE a CATEGORIA = El.Domestico, o valor de venda deverá ter um acrescimo de 65%, senão SE a CATEGORIA = Mat.Escolar, então calor de compra deverá ter acrescimo de 53%, senão é nada.</t>
    </r>
  </si>
  <si>
    <r>
      <t>Relatório:</t>
    </r>
    <r>
      <rPr>
        <sz val="10"/>
        <color indexed="18"/>
        <rFont val="Arial"/>
        <family val="2"/>
      </rPr>
      <t xml:space="preserve"> (função) se a qt. vendida for menor que a venda estimada exibir Insuficiente senão suficiente</t>
    </r>
  </si>
  <si>
    <r>
      <t>Compra do Mês:</t>
    </r>
    <r>
      <rPr>
        <sz val="10"/>
        <color indexed="18"/>
        <rFont val="Arial"/>
        <family val="2"/>
      </rPr>
      <t xml:space="preserve"> valor de compra*qt. comprada.</t>
    </r>
  </si>
  <si>
    <r>
      <t>Venda do Mês:</t>
    </r>
    <r>
      <rPr>
        <sz val="10"/>
        <color indexed="18"/>
        <rFont val="Arial"/>
        <family val="2"/>
      </rPr>
      <t xml:space="preserve"> valor de venda*qt. vendida.</t>
    </r>
  </si>
</sst>
</file>

<file path=xl/styles.xml><?xml version="1.0" encoding="utf-8"?>
<styleSheet xmlns="http://schemas.openxmlformats.org/spreadsheetml/2006/main">
  <numFmts count="1">
    <numFmt numFmtId="164" formatCode="_-&quot;R$&quot;* #,##0.00_-;\-&quot;R$&quot;* #,##0.00_-;_-&quot;R$&quot;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indexed="18"/>
      </left>
      <right style="thin">
        <color indexed="18"/>
      </right>
      <top style="double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double">
        <color indexed="18"/>
      </top>
      <bottom style="thin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9" fontId="3" fillId="0" borderId="4" xfId="0" applyNumberFormat="1" applyFont="1" applyBorder="1"/>
    <xf numFmtId="0" fontId="3" fillId="0" borderId="5" xfId="0" applyFont="1" applyBorder="1"/>
    <xf numFmtId="9" fontId="3" fillId="0" borderId="6" xfId="0" applyNumberFormat="1" applyFont="1" applyBorder="1"/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8" xfId="0" applyFont="1" applyBorder="1"/>
    <xf numFmtId="0" fontId="3" fillId="0" borderId="7" xfId="0" applyFont="1" applyBorder="1" applyProtection="1">
      <protection locked="0"/>
    </xf>
    <xf numFmtId="164" fontId="3" fillId="0" borderId="7" xfId="1" applyFont="1" applyBorder="1" applyProtection="1">
      <protection locked="0"/>
    </xf>
    <xf numFmtId="164" fontId="4" fillId="2" borderId="7" xfId="1" applyFont="1" applyFill="1" applyBorder="1" applyAlignment="1">
      <alignment horizontal="center"/>
    </xf>
    <xf numFmtId="0" fontId="3" fillId="0" borderId="7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zoomScale="230" zoomScaleNormal="230" workbookViewId="0">
      <selection activeCell="H8" sqref="H8"/>
    </sheetView>
  </sheetViews>
  <sheetFormatPr defaultRowHeight="15"/>
  <cols>
    <col min="1" max="1" width="13.85546875" customWidth="1"/>
    <col min="2" max="2" width="14.42578125" customWidth="1"/>
  </cols>
  <sheetData>
    <row r="1" spans="1:2" ht="15.75" thickTop="1">
      <c r="A1" s="1" t="s">
        <v>0</v>
      </c>
      <c r="B1" s="2" t="s">
        <v>1</v>
      </c>
    </row>
    <row r="2" spans="1:2">
      <c r="A2" s="3" t="s">
        <v>2</v>
      </c>
      <c r="B2" s="4">
        <v>0.4</v>
      </c>
    </row>
    <row r="3" spans="1:2">
      <c r="A3" s="3" t="s">
        <v>3</v>
      </c>
      <c r="B3" s="4">
        <v>0.65</v>
      </c>
    </row>
    <row r="4" spans="1:2" ht="15.75" thickBot="1">
      <c r="A4" s="5" t="s">
        <v>4</v>
      </c>
      <c r="B4" s="6">
        <v>0.53</v>
      </c>
    </row>
    <row r="5" spans="1:2" ht="15.75" thickTop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L12" sqref="L12"/>
    </sheetView>
  </sheetViews>
  <sheetFormatPr defaultRowHeight="15"/>
  <cols>
    <col min="1" max="1" width="15.140625" customWidth="1"/>
    <col min="2" max="3" width="14.85546875" customWidth="1"/>
    <col min="5" max="5" width="18" customWidth="1"/>
    <col min="7" max="7" width="14.85546875" customWidth="1"/>
    <col min="8" max="8" width="15.28515625" customWidth="1"/>
    <col min="9" max="10" width="15.5703125" customWidth="1"/>
  </cols>
  <sheetData>
    <row r="1" spans="1:10">
      <c r="A1" s="7" t="s">
        <v>5</v>
      </c>
      <c r="B1" s="7" t="s">
        <v>6</v>
      </c>
      <c r="C1" s="7" t="s">
        <v>7</v>
      </c>
      <c r="D1" s="8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</row>
    <row r="2" spans="1:10">
      <c r="A2" s="10" t="s">
        <v>15</v>
      </c>
      <c r="B2" s="10" t="s">
        <v>2</v>
      </c>
      <c r="C2" s="11">
        <v>1.5</v>
      </c>
      <c r="D2" s="10">
        <v>250</v>
      </c>
      <c r="E2" s="12">
        <f>IF(B2=Planilha1!$A$2,C2+(C2*Planilha1!$B$2),IF(B2=Planilha1!$A$3,C2+(C2*Planilha1!$B$3),IF(B2=Planilha1!$A$4,C2+(C2*Planilha1!$B$4),0)))</f>
        <v>2.1</v>
      </c>
      <c r="F2" s="13">
        <v>150</v>
      </c>
      <c r="G2" s="13">
        <v>200</v>
      </c>
      <c r="H2" s="12" t="str">
        <f>IF(F2&lt;G2,"INSUFICIENTE","SUFICIENTE")</f>
        <v>INSUFICIENTE</v>
      </c>
      <c r="I2" s="12">
        <f>C2*D2</f>
        <v>375</v>
      </c>
      <c r="J2" s="12">
        <f>E2*F2</f>
        <v>315</v>
      </c>
    </row>
    <row r="3" spans="1:10">
      <c r="A3" s="10" t="s">
        <v>16</v>
      </c>
      <c r="B3" s="10" t="s">
        <v>2</v>
      </c>
      <c r="C3" s="11">
        <v>2.2999999999999998</v>
      </c>
      <c r="D3" s="10">
        <v>300</v>
      </c>
      <c r="E3" s="12">
        <f>IF(B3=Planilha1!$A$2,C3+(C3*Planilha1!$B$2),IF(B3=Planilha1!$A$3,C3+(C3*Planilha1!$B$3),IF(B3=Planilha1!$A$4,C3+(C3*Planilha1!$B$4),0)))</f>
        <v>3.2199999999999998</v>
      </c>
      <c r="F3" s="13">
        <v>264</v>
      </c>
      <c r="G3" s="13">
        <v>200</v>
      </c>
      <c r="H3" s="12" t="str">
        <f t="shared" ref="H3:H24" si="0">IF(F3&lt;G3,"INSUFICIENTE","SUFICIENTE")</f>
        <v>SUFICIENTE</v>
      </c>
      <c r="I3" s="12">
        <f t="shared" ref="I3:I24" si="1">C3*D3</f>
        <v>690</v>
      </c>
      <c r="J3" s="12">
        <f t="shared" ref="J3:J24" si="2">E3*F3</f>
        <v>850.07999999999993</v>
      </c>
    </row>
    <row r="4" spans="1:10">
      <c r="A4" s="10" t="s">
        <v>17</v>
      </c>
      <c r="B4" s="10" t="s">
        <v>3</v>
      </c>
      <c r="C4" s="11">
        <v>4.2</v>
      </c>
      <c r="D4" s="10">
        <v>300</v>
      </c>
      <c r="E4" s="12">
        <f>IF(B4=Planilha1!$A$2,C4+(C4*Planilha1!$B$2),IF(B4=Planilha1!$A$3,C4+(C4*Planilha1!$B$3),IF(B4=Planilha1!$A$4,C4+(C4*Planilha1!$B$4),0)))</f>
        <v>6.9300000000000006</v>
      </c>
      <c r="F4" s="13">
        <v>251</v>
      </c>
      <c r="G4" s="13">
        <v>250</v>
      </c>
      <c r="H4" s="12" t="str">
        <f t="shared" si="0"/>
        <v>SUFICIENTE</v>
      </c>
      <c r="I4" s="12">
        <f t="shared" si="1"/>
        <v>1260</v>
      </c>
      <c r="J4" s="12">
        <f t="shared" si="2"/>
        <v>1739.43</v>
      </c>
    </row>
    <row r="5" spans="1:10">
      <c r="A5" s="10" t="s">
        <v>18</v>
      </c>
      <c r="B5" s="10" t="s">
        <v>3</v>
      </c>
      <c r="C5" s="11">
        <v>235</v>
      </c>
      <c r="D5" s="10">
        <v>500</v>
      </c>
      <c r="E5" s="12">
        <f>IF(B5=Planilha1!$A$2,C5+(C5*Planilha1!$B$2),IF(B5=Planilha1!$A$3,C5+(C5*Planilha1!$B$3),IF(B5=Planilha1!$A$4,C5+(C5*Planilha1!$B$4),0)))</f>
        <v>387.75</v>
      </c>
      <c r="F5" s="13">
        <v>108</v>
      </c>
      <c r="G5" s="13">
        <v>450</v>
      </c>
      <c r="H5" s="12" t="str">
        <f t="shared" si="0"/>
        <v>INSUFICIENTE</v>
      </c>
      <c r="I5" s="12">
        <f t="shared" si="1"/>
        <v>117500</v>
      </c>
      <c r="J5" s="12">
        <f t="shared" si="2"/>
        <v>41877</v>
      </c>
    </row>
    <row r="6" spans="1:10">
      <c r="A6" s="10" t="s">
        <v>19</v>
      </c>
      <c r="B6" s="10" t="s">
        <v>3</v>
      </c>
      <c r="C6" s="11">
        <v>185</v>
      </c>
      <c r="D6" s="10">
        <v>1000</v>
      </c>
      <c r="E6" s="12">
        <f>IF(B6=Planilha1!$A$2,C6+(C6*Planilha1!$B$2),IF(B6=Planilha1!$A$3,C6+(C6*Planilha1!$B$3),IF(B6=Planilha1!$A$4,C6+(C6*Planilha1!$B$4),0)))</f>
        <v>305.25</v>
      </c>
      <c r="F6" s="13">
        <v>321</v>
      </c>
      <c r="G6" s="13">
        <v>850</v>
      </c>
      <c r="H6" s="12" t="str">
        <f t="shared" si="0"/>
        <v>INSUFICIENTE</v>
      </c>
      <c r="I6" s="12">
        <f t="shared" si="1"/>
        <v>185000</v>
      </c>
      <c r="J6" s="12">
        <f t="shared" si="2"/>
        <v>97985.25</v>
      </c>
    </row>
    <row r="7" spans="1:10">
      <c r="A7" s="10" t="s">
        <v>20</v>
      </c>
      <c r="B7" s="10" t="s">
        <v>2</v>
      </c>
      <c r="C7" s="11">
        <v>110</v>
      </c>
      <c r="D7" s="10">
        <v>1000</v>
      </c>
      <c r="E7" s="12">
        <f>IF(B7=Planilha1!$A$2,C7+(C7*Planilha1!$B$2),IF(B7=Planilha1!$A$3,C7+(C7*Planilha1!$B$3),IF(B7=Planilha1!$A$4,C7+(C7*Planilha1!$B$4),0)))</f>
        <v>154</v>
      </c>
      <c r="F7" s="13">
        <v>254</v>
      </c>
      <c r="G7" s="13">
        <v>650</v>
      </c>
      <c r="H7" s="12" t="str">
        <f t="shared" si="0"/>
        <v>INSUFICIENTE</v>
      </c>
      <c r="I7" s="12">
        <f t="shared" si="1"/>
        <v>110000</v>
      </c>
      <c r="J7" s="12">
        <f t="shared" si="2"/>
        <v>39116</v>
      </c>
    </row>
    <row r="8" spans="1:10">
      <c r="A8" s="10" t="s">
        <v>21</v>
      </c>
      <c r="B8" s="10" t="s">
        <v>3</v>
      </c>
      <c r="C8" s="11">
        <v>575</v>
      </c>
      <c r="D8" s="10">
        <v>100</v>
      </c>
      <c r="E8" s="12">
        <f>IF(B8=Planilha1!$A$2,C8+(C8*Planilha1!$B$2),IF(B8=Planilha1!$A$3,C8+(C8*Planilha1!$B$3),IF(B8=Planilha1!$A$4,C8+(C8*Planilha1!$B$4),0)))</f>
        <v>948.75</v>
      </c>
      <c r="F8" s="13">
        <v>50</v>
      </c>
      <c r="G8" s="13">
        <v>50</v>
      </c>
      <c r="H8" s="12" t="str">
        <f t="shared" si="0"/>
        <v>SUFICIENTE</v>
      </c>
      <c r="I8" s="12">
        <f t="shared" si="1"/>
        <v>57500</v>
      </c>
      <c r="J8" s="12">
        <f t="shared" si="2"/>
        <v>47437.5</v>
      </c>
    </row>
    <row r="9" spans="1:10">
      <c r="A9" s="10" t="s">
        <v>22</v>
      </c>
      <c r="B9" s="10" t="s">
        <v>2</v>
      </c>
      <c r="C9" s="11">
        <v>65</v>
      </c>
      <c r="D9" s="10">
        <v>250</v>
      </c>
      <c r="E9" s="12">
        <f>IF(B9=Planilha1!$A$2,C9+(C9*Planilha1!$B$2),IF(B9=Planilha1!$A$3,C9+(C9*Planilha1!$B$3),IF(B9=Planilha1!$A$4,C9+(C9*Planilha1!$B$4),0)))</f>
        <v>91</v>
      </c>
      <c r="F9" s="13">
        <v>78</v>
      </c>
      <c r="G9" s="13">
        <v>980</v>
      </c>
      <c r="H9" s="12" t="str">
        <f t="shared" si="0"/>
        <v>INSUFICIENTE</v>
      </c>
      <c r="I9" s="12">
        <f t="shared" si="1"/>
        <v>16250</v>
      </c>
      <c r="J9" s="12">
        <f t="shared" si="2"/>
        <v>7098</v>
      </c>
    </row>
    <row r="10" spans="1:10">
      <c r="A10" s="10" t="s">
        <v>23</v>
      </c>
      <c r="B10" s="10" t="s">
        <v>2</v>
      </c>
      <c r="C10" s="11">
        <v>12</v>
      </c>
      <c r="D10" s="10">
        <v>450</v>
      </c>
      <c r="E10" s="12">
        <f>IF(B10=Planilha1!$A$2,C10+(C10*Planilha1!$B$2),IF(B10=Planilha1!$A$3,C10+(C10*Planilha1!$B$3),IF(B10=Planilha1!$A$4,C10+(C10*Planilha1!$B$4),0)))</f>
        <v>16.8</v>
      </c>
      <c r="F10" s="13">
        <v>278</v>
      </c>
      <c r="G10" s="13">
        <v>400</v>
      </c>
      <c r="H10" s="12" t="str">
        <f t="shared" si="0"/>
        <v>INSUFICIENTE</v>
      </c>
      <c r="I10" s="12">
        <f t="shared" si="1"/>
        <v>5400</v>
      </c>
      <c r="J10" s="12">
        <f t="shared" si="2"/>
        <v>4670.4000000000005</v>
      </c>
    </row>
    <row r="11" spans="1:10">
      <c r="A11" s="10" t="s">
        <v>24</v>
      </c>
      <c r="B11" s="10" t="s">
        <v>4</v>
      </c>
      <c r="C11" s="11">
        <v>0.8</v>
      </c>
      <c r="D11" s="10">
        <v>150</v>
      </c>
      <c r="E11" s="12">
        <f>IF(B11=Planilha1!$A$2,C11+(C11*Planilha1!$B$2),IF(B11=Planilha1!$A$3,C11+(C11*Planilha1!$B$3),IF(B11=Planilha1!$A$4,C11+(C11*Planilha1!$B$4),0)))</f>
        <v>1.2240000000000002</v>
      </c>
      <c r="F11" s="13">
        <v>140</v>
      </c>
      <c r="G11" s="13">
        <v>130</v>
      </c>
      <c r="H11" s="12" t="str">
        <f t="shared" si="0"/>
        <v>SUFICIENTE</v>
      </c>
      <c r="I11" s="12">
        <f t="shared" si="1"/>
        <v>120</v>
      </c>
      <c r="J11" s="12">
        <f t="shared" si="2"/>
        <v>171.36</v>
      </c>
    </row>
    <row r="12" spans="1:10">
      <c r="A12" s="10" t="s">
        <v>25</v>
      </c>
      <c r="B12" s="10" t="s">
        <v>3</v>
      </c>
      <c r="C12" s="11">
        <v>365</v>
      </c>
      <c r="D12" s="10">
        <v>350</v>
      </c>
      <c r="E12" s="12">
        <f>IF(B12=Planilha1!$A$2,C12+(C12*Planilha1!$B$2),IF(B12=Planilha1!$A$3,C12+(C12*Planilha1!$B$3),IF(B12=Planilha1!$A$4,C12+(C12*Planilha1!$B$4),0)))</f>
        <v>602.25</v>
      </c>
      <c r="F12" s="13">
        <v>200</v>
      </c>
      <c r="G12" s="13">
        <v>255</v>
      </c>
      <c r="H12" s="12" t="str">
        <f t="shared" si="0"/>
        <v>INSUFICIENTE</v>
      </c>
      <c r="I12" s="12">
        <f t="shared" si="1"/>
        <v>127750</v>
      </c>
      <c r="J12" s="12">
        <f t="shared" si="2"/>
        <v>120450</v>
      </c>
    </row>
    <row r="13" spans="1:10">
      <c r="A13" s="10" t="s">
        <v>26</v>
      </c>
      <c r="B13" s="10" t="s">
        <v>4</v>
      </c>
      <c r="C13" s="11">
        <v>0.1</v>
      </c>
      <c r="D13" s="10">
        <v>3000</v>
      </c>
      <c r="E13" s="12">
        <f>IF(B13=Planilha1!$A$2,C13+(C13*Planilha1!$B$2),IF(B13=Planilha1!$A$3,C13+(C13*Planilha1!$B$3),IF(B13=Planilha1!$A$4,C13+(C13*Planilha1!$B$4),0)))</f>
        <v>0.15300000000000002</v>
      </c>
      <c r="F13" s="13">
        <v>1000</v>
      </c>
      <c r="G13" s="13">
        <v>1500</v>
      </c>
      <c r="H13" s="12" t="str">
        <f t="shared" si="0"/>
        <v>INSUFICIENTE</v>
      </c>
      <c r="I13" s="12">
        <f t="shared" si="1"/>
        <v>300</v>
      </c>
      <c r="J13" s="12">
        <f t="shared" si="2"/>
        <v>153.00000000000003</v>
      </c>
    </row>
    <row r="14" spans="1:10">
      <c r="A14" s="10" t="s">
        <v>27</v>
      </c>
      <c r="B14" s="10" t="s">
        <v>4</v>
      </c>
      <c r="C14" s="11">
        <v>0.9</v>
      </c>
      <c r="D14" s="10">
        <v>50</v>
      </c>
      <c r="E14" s="12">
        <f>IF(B14=Planilha1!$A$2,C14+(C14*Planilha1!$B$2),IF(B14=Planilha1!$A$3,C14+(C14*Planilha1!$B$3),IF(B14=Planilha1!$A$4,C14+(C14*Planilha1!$B$4),0)))</f>
        <v>1.377</v>
      </c>
      <c r="F14" s="13">
        <v>36</v>
      </c>
      <c r="G14" s="13">
        <v>40</v>
      </c>
      <c r="H14" s="12" t="str">
        <f t="shared" si="0"/>
        <v>INSUFICIENTE</v>
      </c>
      <c r="I14" s="12">
        <f t="shared" si="1"/>
        <v>45</v>
      </c>
      <c r="J14" s="12">
        <f t="shared" si="2"/>
        <v>49.572000000000003</v>
      </c>
    </row>
    <row r="15" spans="1:10">
      <c r="A15" s="10" t="s">
        <v>28</v>
      </c>
      <c r="B15" s="10" t="s">
        <v>3</v>
      </c>
      <c r="C15" s="11">
        <v>276</v>
      </c>
      <c r="D15" s="10">
        <v>10</v>
      </c>
      <c r="E15" s="12">
        <f>IF(B15=Planilha1!$A$2,C15+(C15*Planilha1!$B$2),IF(B15=Planilha1!$A$3,C15+(C15*Planilha1!$B$3),IF(B15=Planilha1!$A$4,C15+(C15*Planilha1!$B$4),0)))</f>
        <v>455.4</v>
      </c>
      <c r="F15" s="13">
        <v>8</v>
      </c>
      <c r="G15" s="13">
        <v>7</v>
      </c>
      <c r="H15" s="12" t="str">
        <f t="shared" si="0"/>
        <v>SUFICIENTE</v>
      </c>
      <c r="I15" s="12">
        <f t="shared" si="1"/>
        <v>2760</v>
      </c>
      <c r="J15" s="12">
        <f t="shared" si="2"/>
        <v>3643.2</v>
      </c>
    </row>
    <row r="16" spans="1:10">
      <c r="A16" s="10" t="s">
        <v>29</v>
      </c>
      <c r="B16" s="10" t="s">
        <v>3</v>
      </c>
      <c r="C16" s="11">
        <v>482</v>
      </c>
      <c r="D16" s="10">
        <v>20</v>
      </c>
      <c r="E16" s="12">
        <f>IF(B16=Planilha1!$A$2,C16+(C16*Planilha1!$B$2),IF(B16=Planilha1!$A$3,C16+(C16*Planilha1!$B$3),IF(B16=Planilha1!$A$4,C16+(C16*Planilha1!$B$4),0)))</f>
        <v>795.3</v>
      </c>
      <c r="F16" s="13">
        <v>19</v>
      </c>
      <c r="G16" s="13">
        <v>15</v>
      </c>
      <c r="H16" s="12" t="str">
        <f t="shared" si="0"/>
        <v>SUFICIENTE</v>
      </c>
      <c r="I16" s="12">
        <f t="shared" si="1"/>
        <v>9640</v>
      </c>
      <c r="J16" s="12">
        <f t="shared" si="2"/>
        <v>15110.699999999999</v>
      </c>
    </row>
    <row r="17" spans="1:10">
      <c r="A17" s="10" t="s">
        <v>30</v>
      </c>
      <c r="B17" s="10" t="s">
        <v>4</v>
      </c>
      <c r="C17" s="11">
        <v>5</v>
      </c>
      <c r="D17" s="10">
        <v>250</v>
      </c>
      <c r="E17" s="12">
        <f>IF(B17=Planilha1!$A$2,C17+(C17*Planilha1!$B$2),IF(B17=Planilha1!$A$3,C17+(C17*Planilha1!$B$3),IF(B17=Planilha1!$A$4,C17+(C17*Planilha1!$B$4),0)))</f>
        <v>7.65</v>
      </c>
      <c r="F17" s="13">
        <v>220</v>
      </c>
      <c r="G17" s="13">
        <v>200</v>
      </c>
      <c r="H17" s="12" t="str">
        <f t="shared" si="0"/>
        <v>SUFICIENTE</v>
      </c>
      <c r="I17" s="12">
        <f t="shared" si="1"/>
        <v>1250</v>
      </c>
      <c r="J17" s="12">
        <f t="shared" si="2"/>
        <v>1683</v>
      </c>
    </row>
    <row r="18" spans="1:10">
      <c r="A18" s="10" t="s">
        <v>31</v>
      </c>
      <c r="B18" s="10" t="s">
        <v>2</v>
      </c>
      <c r="C18" s="11">
        <v>4.3</v>
      </c>
      <c r="D18" s="10">
        <v>300</v>
      </c>
      <c r="E18" s="12">
        <f>IF(B18=Planilha1!$A$2,C18+(C18*Planilha1!$B$2),IF(B18=Planilha1!$A$3,C18+(C18*Planilha1!$B$3),IF(B18=Planilha1!$A$4,C18+(C18*Planilha1!$B$4),0)))</f>
        <v>6.02</v>
      </c>
      <c r="F18" s="13">
        <v>180</v>
      </c>
      <c r="G18" s="13">
        <v>200</v>
      </c>
      <c r="H18" s="12" t="str">
        <f t="shared" si="0"/>
        <v>INSUFICIENTE</v>
      </c>
      <c r="I18" s="12">
        <f t="shared" si="1"/>
        <v>1290</v>
      </c>
      <c r="J18" s="12">
        <f t="shared" si="2"/>
        <v>1083.5999999999999</v>
      </c>
    </row>
    <row r="19" spans="1:10">
      <c r="A19" s="10" t="s">
        <v>32</v>
      </c>
      <c r="B19" s="10" t="s">
        <v>2</v>
      </c>
      <c r="C19" s="11">
        <v>78</v>
      </c>
      <c r="D19" s="10">
        <v>500</v>
      </c>
      <c r="E19" s="12">
        <f>IF(B19=Planilha1!$A$2,C19+(C19*Planilha1!$B$2),IF(B19=Planilha1!$A$3,C19+(C19*Planilha1!$B$3),IF(B19=Planilha1!$A$4,C19+(C19*Planilha1!$B$4),0)))</f>
        <v>109.2</v>
      </c>
      <c r="F19" s="13">
        <v>300</v>
      </c>
      <c r="G19" s="13">
        <v>452</v>
      </c>
      <c r="H19" s="12" t="str">
        <f t="shared" si="0"/>
        <v>INSUFICIENTE</v>
      </c>
      <c r="I19" s="12">
        <f t="shared" si="1"/>
        <v>39000</v>
      </c>
      <c r="J19" s="12">
        <f t="shared" si="2"/>
        <v>32760</v>
      </c>
    </row>
    <row r="20" spans="1:10">
      <c r="A20" s="10" t="s">
        <v>33</v>
      </c>
      <c r="B20" s="10" t="s">
        <v>4</v>
      </c>
      <c r="C20" s="11">
        <v>5</v>
      </c>
      <c r="D20" s="10">
        <v>10</v>
      </c>
      <c r="E20" s="12">
        <f>IF(B20=Planilha1!$A$2,C20+(C20*Planilha1!$B$2),IF(B20=Planilha1!$A$3,C20+(C20*Planilha1!$B$3),IF(B20=Planilha1!$A$4,C20+(C20*Planilha1!$B$4),0)))</f>
        <v>7.65</v>
      </c>
      <c r="F20" s="13">
        <v>7</v>
      </c>
      <c r="G20" s="13">
        <v>8</v>
      </c>
      <c r="H20" s="12" t="str">
        <f t="shared" si="0"/>
        <v>INSUFICIENTE</v>
      </c>
      <c r="I20" s="12">
        <f t="shared" si="1"/>
        <v>50</v>
      </c>
      <c r="J20" s="12">
        <f t="shared" si="2"/>
        <v>53.550000000000004</v>
      </c>
    </row>
    <row r="21" spans="1:10">
      <c r="A21" s="10" t="s">
        <v>34</v>
      </c>
      <c r="B21" s="10" t="s">
        <v>4</v>
      </c>
      <c r="C21" s="11">
        <v>23</v>
      </c>
      <c r="D21" s="10">
        <v>80</v>
      </c>
      <c r="E21" s="12">
        <f>IF(B21=Planilha1!$A$2,C21+(C21*Planilha1!$B$2),IF(B21=Planilha1!$A$3,C21+(C21*Planilha1!$B$3),IF(B21=Planilha1!$A$4,C21+(C21*Planilha1!$B$4),0)))</f>
        <v>35.19</v>
      </c>
      <c r="F21" s="13">
        <v>75</v>
      </c>
      <c r="G21" s="13">
        <v>60</v>
      </c>
      <c r="H21" s="12" t="str">
        <f t="shared" si="0"/>
        <v>SUFICIENTE</v>
      </c>
      <c r="I21" s="12">
        <f t="shared" si="1"/>
        <v>1840</v>
      </c>
      <c r="J21" s="12">
        <f t="shared" si="2"/>
        <v>2639.25</v>
      </c>
    </row>
    <row r="22" spans="1:10">
      <c r="A22" s="10" t="s">
        <v>35</v>
      </c>
      <c r="B22" s="10" t="s">
        <v>3</v>
      </c>
      <c r="C22" s="11">
        <v>80</v>
      </c>
      <c r="D22" s="10">
        <v>45</v>
      </c>
      <c r="E22" s="12">
        <f>IF(B22=Planilha1!$A$2,C22+(C22*Planilha1!$B$2),IF(B22=Planilha1!$A$3,C22+(C22*Planilha1!$B$3),IF(B22=Planilha1!$A$4,C22+(C22*Planilha1!$B$4),0)))</f>
        <v>132</v>
      </c>
      <c r="F22" s="13">
        <v>15</v>
      </c>
      <c r="G22" s="13">
        <v>35</v>
      </c>
      <c r="H22" s="12" t="str">
        <f t="shared" si="0"/>
        <v>INSUFICIENTE</v>
      </c>
      <c r="I22" s="12">
        <f t="shared" si="1"/>
        <v>3600</v>
      </c>
      <c r="J22" s="12">
        <f t="shared" si="2"/>
        <v>1980</v>
      </c>
    </row>
    <row r="23" spans="1:10">
      <c r="A23" s="10" t="s">
        <v>36</v>
      </c>
      <c r="B23" s="10" t="s">
        <v>2</v>
      </c>
      <c r="C23" s="11">
        <v>49.5</v>
      </c>
      <c r="D23" s="10">
        <v>90</v>
      </c>
      <c r="E23" s="12">
        <f>IF(B23=Planilha1!$A$2,C23+(C23*Planilha1!$B$2),IF(B23=Planilha1!$A$3,C23+(C23*Planilha1!$B$3),IF(B23=Planilha1!$A$4,C23+(C23*Planilha1!$B$4),0)))</f>
        <v>69.3</v>
      </c>
      <c r="F23" s="13">
        <v>69</v>
      </c>
      <c r="G23" s="13">
        <v>80</v>
      </c>
      <c r="H23" s="12" t="str">
        <f t="shared" si="0"/>
        <v>INSUFICIENTE</v>
      </c>
      <c r="I23" s="12">
        <f t="shared" si="1"/>
        <v>4455</v>
      </c>
      <c r="J23" s="12">
        <f t="shared" si="2"/>
        <v>4781.7</v>
      </c>
    </row>
    <row r="24" spans="1:10">
      <c r="A24" s="10" t="s">
        <v>37</v>
      </c>
      <c r="B24" s="10" t="s">
        <v>2</v>
      </c>
      <c r="C24" s="11">
        <v>2.8</v>
      </c>
      <c r="D24" s="10">
        <v>50</v>
      </c>
      <c r="E24" s="12">
        <f>IF(B24=Planilha1!$A$2,C24+(C24*Planilha1!$B$2),IF(B24=Planilha1!$A$3,C24+(C24*Planilha1!$B$3),IF(B24=Planilha1!$A$4,C24+(C24*Planilha1!$B$4),0)))</f>
        <v>3.92</v>
      </c>
      <c r="F24" s="13">
        <v>42</v>
      </c>
      <c r="G24" s="13">
        <v>35</v>
      </c>
      <c r="H24" s="12" t="str">
        <f t="shared" si="0"/>
        <v>SUFICIENTE</v>
      </c>
      <c r="I24" s="12">
        <f t="shared" si="1"/>
        <v>140</v>
      </c>
      <c r="J24" s="12">
        <f t="shared" si="2"/>
        <v>164.64</v>
      </c>
    </row>
    <row r="26" spans="1:10">
      <c r="A26" s="15" t="s">
        <v>38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>
      <c r="A29" s="14" t="s">
        <v>39</v>
      </c>
    </row>
    <row r="30" spans="1:10">
      <c r="A30" s="14" t="s">
        <v>40</v>
      </c>
    </row>
    <row r="31" spans="1:10">
      <c r="A31" s="14" t="s">
        <v>41</v>
      </c>
    </row>
  </sheetData>
  <mergeCells count="1">
    <mergeCell ref="A26:J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2018-09-12T15:25:40Z</dcterms:created>
  <dcterms:modified xsi:type="dcterms:W3CDTF">2018-09-14T18:20:25Z</dcterms:modified>
</cp:coreProperties>
</file>